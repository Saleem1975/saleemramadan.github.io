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atuniversity-my.sharepoint.com/personal/saleem_ramadan_htu_edu_jo/Documents/Desktop/Current research/CPI/House flip analyzer/"/>
    </mc:Choice>
  </mc:AlternateContent>
  <xr:revisionPtr revIDLastSave="4" documentId="11_FEDD63FA02E53AC4C9C93D227AD354FE61F55439" xr6:coauthVersionLast="47" xr6:coauthVersionMax="47" xr10:uidLastSave="{D1F405B7-E5C0-4EDC-AA1B-CB58F98BDBBD}"/>
  <bookViews>
    <workbookView xWindow="-108" yWindow="-108" windowWidth="23256" windowHeight="13896" tabRatio="998" firstSheet="2" activeTab="9" xr2:uid="{00000000-000D-0000-FFFF-FFFF00000000}"/>
  </bookViews>
  <sheets>
    <sheet name="Dashboard" sheetId="1" r:id="rId1"/>
    <sheet name="Project Inputs" sheetId="2" r:id="rId2"/>
    <sheet name="Scope Builder" sheetId="3" r:id="rId3"/>
    <sheet name="Cost Library" sheetId="4" r:id="rId4"/>
    <sheet name="Bid Comparison" sheetId="5" r:id="rId5"/>
    <sheet name="Flip Analysis" sheetId="6" r:id="rId6"/>
    <sheet name="Sources &amp; Notes" sheetId="7" r:id="rId7"/>
    <sheet name="Lists" sheetId="8" r:id="rId8"/>
    <sheet name="Cost Dashboard" sheetId="9" r:id="rId9"/>
    <sheet name="Executive Overview" sheetId="10" r:id="rId10"/>
    <sheet name="Cost Analytics" sheetId="11" r:id="rId11"/>
    <sheet name="Project Performanc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2" l="1"/>
  <c r="E56" i="12"/>
  <c r="Q14" i="12"/>
  <c r="D5" i="12"/>
  <c r="Q7" i="10"/>
  <c r="D5" i="10"/>
  <c r="Q3" i="10"/>
  <c r="C25" i="9"/>
  <c r="C37" i="6"/>
  <c r="C33" i="6"/>
  <c r="G49" i="1" s="1"/>
  <c r="C32" i="6"/>
  <c r="J10" i="12" s="1"/>
  <c r="C31" i="6"/>
  <c r="Q9" i="12" s="1"/>
  <c r="C26" i="6"/>
  <c r="C25" i="6"/>
  <c r="C23" i="6"/>
  <c r="C22" i="6"/>
  <c r="C10" i="6"/>
  <c r="C9" i="6"/>
  <c r="C8" i="6"/>
  <c r="C7" i="6"/>
  <c r="C5" i="6"/>
  <c r="Q13" i="12" s="1"/>
  <c r="C4" i="6"/>
  <c r="T3" i="10" s="1"/>
  <c r="BB251" i="3"/>
  <c r="AZ251" i="3"/>
  <c r="AY251" i="3"/>
  <c r="BA251" i="3" s="1"/>
  <c r="AW251" i="3"/>
  <c r="AV251" i="3"/>
  <c r="AT251" i="3"/>
  <c r="AS251" i="3"/>
  <c r="AR251" i="3"/>
  <c r="AQ251" i="3"/>
  <c r="AP251" i="3"/>
  <c r="AO251" i="3"/>
  <c r="AN251" i="3"/>
  <c r="AM251" i="3"/>
  <c r="AI251" i="3"/>
  <c r="AF251" i="3"/>
  <c r="AL251" i="3" s="1"/>
  <c r="AX251" i="3" s="1"/>
  <c r="W251" i="3"/>
  <c r="U251" i="3"/>
  <c r="T251" i="3"/>
  <c r="S251" i="3"/>
  <c r="P251" i="3"/>
  <c r="O251" i="3"/>
  <c r="N251" i="3"/>
  <c r="M251" i="3"/>
  <c r="G251" i="3"/>
  <c r="D251" i="3"/>
  <c r="C251" i="3"/>
  <c r="BB250" i="3"/>
  <c r="AW250" i="3"/>
  <c r="AV250" i="3"/>
  <c r="AT250" i="3"/>
  <c r="AP250" i="3"/>
  <c r="AO250" i="3"/>
  <c r="AN250" i="3"/>
  <c r="AM250" i="3"/>
  <c r="AL250" i="3"/>
  <c r="AX250" i="3" s="1"/>
  <c r="AI250" i="3"/>
  <c r="AF250" i="3"/>
  <c r="W250" i="3"/>
  <c r="U250" i="3"/>
  <c r="T250" i="3"/>
  <c r="S250" i="3"/>
  <c r="P250" i="3"/>
  <c r="O250" i="3"/>
  <c r="N250" i="3"/>
  <c r="M250" i="3"/>
  <c r="G250" i="3"/>
  <c r="D250" i="3"/>
  <c r="C250" i="3"/>
  <c r="BB249" i="3"/>
  <c r="AX249" i="3"/>
  <c r="AW249" i="3"/>
  <c r="AV249" i="3"/>
  <c r="AT249" i="3"/>
  <c r="AS249" i="3"/>
  <c r="AQ249" i="3"/>
  <c r="AP249" i="3"/>
  <c r="AO249" i="3"/>
  <c r="AN249" i="3"/>
  <c r="AM249" i="3"/>
  <c r="AI249" i="3"/>
  <c r="AF249" i="3"/>
  <c r="AL249" i="3" s="1"/>
  <c r="W249" i="3"/>
  <c r="U249" i="3"/>
  <c r="T249" i="3"/>
  <c r="S249" i="3"/>
  <c r="AR249" i="3" s="1"/>
  <c r="P249" i="3"/>
  <c r="O249" i="3"/>
  <c r="N249" i="3"/>
  <c r="M249" i="3"/>
  <c r="G249" i="3"/>
  <c r="D249" i="3"/>
  <c r="C249" i="3"/>
  <c r="BB248" i="3"/>
  <c r="BA248" i="3"/>
  <c r="AY248" i="3"/>
  <c r="AW248" i="3"/>
  <c r="AV248" i="3"/>
  <c r="AT248" i="3"/>
  <c r="AS248" i="3"/>
  <c r="AR248" i="3"/>
  <c r="AP248" i="3"/>
  <c r="AO248" i="3"/>
  <c r="AN248" i="3"/>
  <c r="AM248" i="3"/>
  <c r="AI248" i="3"/>
  <c r="AL248" i="3" s="1"/>
  <c r="AX248" i="3" s="1"/>
  <c r="AZ248" i="3" s="1"/>
  <c r="AF248" i="3"/>
  <c r="W248" i="3"/>
  <c r="U248" i="3"/>
  <c r="T248" i="3"/>
  <c r="S248" i="3"/>
  <c r="AQ248" i="3" s="1"/>
  <c r="P248" i="3"/>
  <c r="O248" i="3"/>
  <c r="N248" i="3"/>
  <c r="M248" i="3"/>
  <c r="G248" i="3"/>
  <c r="D248" i="3"/>
  <c r="C248" i="3"/>
  <c r="BB247" i="3"/>
  <c r="AW247" i="3"/>
  <c r="AV247" i="3"/>
  <c r="AT247" i="3"/>
  <c r="AR247" i="3"/>
  <c r="AP247" i="3"/>
  <c r="AO247" i="3"/>
  <c r="AN247" i="3"/>
  <c r="AM247" i="3"/>
  <c r="AI247" i="3"/>
  <c r="AF247" i="3"/>
  <c r="AL247" i="3" s="1"/>
  <c r="AX247" i="3" s="1"/>
  <c r="AZ247" i="3" s="1"/>
  <c r="W247" i="3"/>
  <c r="U247" i="3"/>
  <c r="T247" i="3"/>
  <c r="S247" i="3"/>
  <c r="P247" i="3"/>
  <c r="O247" i="3"/>
  <c r="N247" i="3"/>
  <c r="M247" i="3"/>
  <c r="G247" i="3"/>
  <c r="D247" i="3"/>
  <c r="C247" i="3"/>
  <c r="BB246" i="3"/>
  <c r="AW246" i="3"/>
  <c r="AV246" i="3"/>
  <c r="AT246" i="3"/>
  <c r="AR246" i="3"/>
  <c r="AP246" i="3"/>
  <c r="AO246" i="3"/>
  <c r="AN246" i="3"/>
  <c r="AM246" i="3"/>
  <c r="AI246" i="3"/>
  <c r="AF246" i="3"/>
  <c r="AL246" i="3" s="1"/>
  <c r="AX246" i="3" s="1"/>
  <c r="W246" i="3"/>
  <c r="U246" i="3"/>
  <c r="T246" i="3"/>
  <c r="S246" i="3"/>
  <c r="P246" i="3"/>
  <c r="O246" i="3"/>
  <c r="N246" i="3"/>
  <c r="M246" i="3"/>
  <c r="G246" i="3"/>
  <c r="D246" i="3"/>
  <c r="C246" i="3"/>
  <c r="BB245" i="3"/>
  <c r="AX245" i="3"/>
  <c r="AY245" i="3" s="1"/>
  <c r="BA245" i="3" s="1"/>
  <c r="AW245" i="3"/>
  <c r="AV245" i="3"/>
  <c r="AT245" i="3"/>
  <c r="AQ245" i="3"/>
  <c r="AP245" i="3"/>
  <c r="AO245" i="3"/>
  <c r="AN245" i="3"/>
  <c r="AM245" i="3"/>
  <c r="AI245" i="3"/>
  <c r="AF245" i="3"/>
  <c r="AL245" i="3" s="1"/>
  <c r="W245" i="3"/>
  <c r="U245" i="3"/>
  <c r="T245" i="3"/>
  <c r="S245" i="3"/>
  <c r="P245" i="3"/>
  <c r="O245" i="3"/>
  <c r="N245" i="3"/>
  <c r="M245" i="3"/>
  <c r="G245" i="3"/>
  <c r="D245" i="3"/>
  <c r="C245" i="3"/>
  <c r="BB244" i="3"/>
  <c r="AX244" i="3"/>
  <c r="AW244" i="3"/>
  <c r="AV244" i="3"/>
  <c r="AT244" i="3"/>
  <c r="AQ244" i="3"/>
  <c r="AP244" i="3"/>
  <c r="AO244" i="3"/>
  <c r="AN244" i="3"/>
  <c r="AM244" i="3"/>
  <c r="AL244" i="3"/>
  <c r="AI244" i="3"/>
  <c r="AF244" i="3"/>
  <c r="W244" i="3"/>
  <c r="U244" i="3"/>
  <c r="T244" i="3"/>
  <c r="S244" i="3"/>
  <c r="P244" i="3"/>
  <c r="O244" i="3"/>
  <c r="N244" i="3"/>
  <c r="M244" i="3"/>
  <c r="G244" i="3"/>
  <c r="D244" i="3"/>
  <c r="C244" i="3"/>
  <c r="BB243" i="3"/>
  <c r="AW243" i="3"/>
  <c r="AV243" i="3"/>
  <c r="AT243" i="3"/>
  <c r="AS243" i="3"/>
  <c r="AQ243" i="3"/>
  <c r="AP243" i="3"/>
  <c r="AO243" i="3"/>
  <c r="AN243" i="3"/>
  <c r="AM243" i="3"/>
  <c r="AI243" i="3"/>
  <c r="AF243" i="3"/>
  <c r="AL243" i="3" s="1"/>
  <c r="AX243" i="3" s="1"/>
  <c r="W243" i="3"/>
  <c r="U243" i="3"/>
  <c r="T243" i="3"/>
  <c r="S243" i="3"/>
  <c r="AR243" i="3" s="1"/>
  <c r="P243" i="3"/>
  <c r="O243" i="3"/>
  <c r="N243" i="3"/>
  <c r="M243" i="3"/>
  <c r="G243" i="3"/>
  <c r="D243" i="3"/>
  <c r="C243" i="3"/>
  <c r="BB242" i="3"/>
  <c r="BA242" i="3"/>
  <c r="AY242" i="3"/>
  <c r="AW242" i="3"/>
  <c r="AV242" i="3"/>
  <c r="AT242" i="3"/>
  <c r="AS242" i="3"/>
  <c r="AR242" i="3"/>
  <c r="AQ242" i="3"/>
  <c r="AP242" i="3"/>
  <c r="AO242" i="3"/>
  <c r="AN242" i="3"/>
  <c r="AM242" i="3"/>
  <c r="AL242" i="3"/>
  <c r="AX242" i="3" s="1"/>
  <c r="AZ242" i="3" s="1"/>
  <c r="AI242" i="3"/>
  <c r="AF242" i="3"/>
  <c r="W242" i="3"/>
  <c r="U242" i="3"/>
  <c r="T242" i="3"/>
  <c r="S242" i="3"/>
  <c r="P242" i="3"/>
  <c r="O242" i="3"/>
  <c r="N242" i="3"/>
  <c r="M242" i="3"/>
  <c r="G242" i="3"/>
  <c r="D242" i="3"/>
  <c r="C242" i="3"/>
  <c r="BB241" i="3"/>
  <c r="AY241" i="3"/>
  <c r="BA241" i="3" s="1"/>
  <c r="AW241" i="3"/>
  <c r="AV241" i="3"/>
  <c r="AT241" i="3"/>
  <c r="AP241" i="3"/>
  <c r="AO241" i="3"/>
  <c r="AN241" i="3"/>
  <c r="AM241" i="3"/>
  <c r="AL241" i="3"/>
  <c r="AX241" i="3" s="1"/>
  <c r="AZ241" i="3" s="1"/>
  <c r="AI241" i="3"/>
  <c r="AF241" i="3"/>
  <c r="W241" i="3"/>
  <c r="U241" i="3"/>
  <c r="T241" i="3"/>
  <c r="S241" i="3"/>
  <c r="P241" i="3"/>
  <c r="O241" i="3"/>
  <c r="N241" i="3"/>
  <c r="M241" i="3"/>
  <c r="G241" i="3"/>
  <c r="D241" i="3"/>
  <c r="C241" i="3"/>
  <c r="BB240" i="3"/>
  <c r="AW240" i="3"/>
  <c r="AV240" i="3"/>
  <c r="AT240" i="3"/>
  <c r="AP240" i="3"/>
  <c r="AO240" i="3"/>
  <c r="AN240" i="3"/>
  <c r="AM240" i="3"/>
  <c r="AL240" i="3"/>
  <c r="AX240" i="3" s="1"/>
  <c r="AI240" i="3"/>
  <c r="AF240" i="3"/>
  <c r="W240" i="3"/>
  <c r="U240" i="3"/>
  <c r="T240" i="3"/>
  <c r="S240" i="3"/>
  <c r="P240" i="3"/>
  <c r="O240" i="3"/>
  <c r="N240" i="3"/>
  <c r="M240" i="3"/>
  <c r="G240" i="3"/>
  <c r="D240" i="3"/>
  <c r="C240" i="3"/>
  <c r="BB239" i="3"/>
  <c r="AW239" i="3"/>
  <c r="AV239" i="3"/>
  <c r="AT239" i="3"/>
  <c r="AS239" i="3"/>
  <c r="AR239" i="3"/>
  <c r="AQ239" i="3"/>
  <c r="AP239" i="3"/>
  <c r="AO239" i="3"/>
  <c r="AN239" i="3"/>
  <c r="AM239" i="3"/>
  <c r="AI239" i="3"/>
  <c r="AF239" i="3"/>
  <c r="W239" i="3"/>
  <c r="U239" i="3"/>
  <c r="T239" i="3"/>
  <c r="S239" i="3"/>
  <c r="P239" i="3"/>
  <c r="O239" i="3"/>
  <c r="N239" i="3"/>
  <c r="M239" i="3"/>
  <c r="G239" i="3"/>
  <c r="D239" i="3"/>
  <c r="C239" i="3"/>
  <c r="BB238" i="3"/>
  <c r="AX238" i="3"/>
  <c r="AZ238" i="3" s="1"/>
  <c r="AW238" i="3"/>
  <c r="AV238" i="3"/>
  <c r="AT238" i="3"/>
  <c r="AR238" i="3"/>
  <c r="AP238" i="3"/>
  <c r="AO238" i="3"/>
  <c r="AN238" i="3"/>
  <c r="AM238" i="3"/>
  <c r="AI238" i="3"/>
  <c r="AL238" i="3" s="1"/>
  <c r="AF238" i="3"/>
  <c r="W238" i="3"/>
  <c r="U238" i="3"/>
  <c r="T238" i="3"/>
  <c r="S238" i="3"/>
  <c r="P238" i="3"/>
  <c r="O238" i="3"/>
  <c r="N238" i="3"/>
  <c r="M238" i="3"/>
  <c r="G238" i="3"/>
  <c r="D238" i="3"/>
  <c r="C238" i="3"/>
  <c r="BB237" i="3"/>
  <c r="AZ237" i="3"/>
  <c r="AW237" i="3"/>
  <c r="AV237" i="3"/>
  <c r="AT237" i="3"/>
  <c r="AR237" i="3"/>
  <c r="AP237" i="3"/>
  <c r="AO237" i="3"/>
  <c r="AN237" i="3"/>
  <c r="AM237" i="3"/>
  <c r="AL237" i="3"/>
  <c r="AX237" i="3" s="1"/>
  <c r="AY237" i="3" s="1"/>
  <c r="BA237" i="3" s="1"/>
  <c r="AI237" i="3"/>
  <c r="AF237" i="3"/>
  <c r="W237" i="3"/>
  <c r="U237" i="3"/>
  <c r="T237" i="3"/>
  <c r="S237" i="3"/>
  <c r="P237" i="3"/>
  <c r="O237" i="3"/>
  <c r="N237" i="3"/>
  <c r="M237" i="3"/>
  <c r="G237" i="3"/>
  <c r="D237" i="3"/>
  <c r="C237" i="3"/>
  <c r="BB236" i="3"/>
  <c r="AW236" i="3"/>
  <c r="AV236" i="3"/>
  <c r="AT236" i="3"/>
  <c r="AS236" i="3"/>
  <c r="AR236" i="3"/>
  <c r="AQ236" i="3"/>
  <c r="AP236" i="3"/>
  <c r="AO236" i="3"/>
  <c r="AN236" i="3"/>
  <c r="AM236" i="3"/>
  <c r="AL236" i="3"/>
  <c r="AX236" i="3" s="1"/>
  <c r="AI236" i="3"/>
  <c r="AF236" i="3"/>
  <c r="W236" i="3"/>
  <c r="U236" i="3"/>
  <c r="T236" i="3"/>
  <c r="S236" i="3"/>
  <c r="P236" i="3"/>
  <c r="O236" i="3"/>
  <c r="N236" i="3"/>
  <c r="M236" i="3"/>
  <c r="G236" i="3"/>
  <c r="D236" i="3"/>
  <c r="C236" i="3"/>
  <c r="BB235" i="3"/>
  <c r="AW235" i="3"/>
  <c r="AV235" i="3"/>
  <c r="AT235" i="3"/>
  <c r="AS235" i="3"/>
  <c r="AQ235" i="3"/>
  <c r="AP235" i="3"/>
  <c r="AO235" i="3"/>
  <c r="AN235" i="3"/>
  <c r="AM235" i="3"/>
  <c r="AI235" i="3"/>
  <c r="AF235" i="3"/>
  <c r="AL235" i="3" s="1"/>
  <c r="AX235" i="3" s="1"/>
  <c r="W235" i="3"/>
  <c r="U235" i="3"/>
  <c r="T235" i="3"/>
  <c r="S235" i="3"/>
  <c r="AR235" i="3" s="1"/>
  <c r="P235" i="3"/>
  <c r="O235" i="3"/>
  <c r="N235" i="3"/>
  <c r="M235" i="3"/>
  <c r="G235" i="3"/>
  <c r="D235" i="3"/>
  <c r="C235" i="3"/>
  <c r="BB234" i="3"/>
  <c r="AW234" i="3"/>
  <c r="AV234" i="3"/>
  <c r="AT234" i="3"/>
  <c r="AP234" i="3"/>
  <c r="AO234" i="3"/>
  <c r="AN234" i="3"/>
  <c r="AM234" i="3"/>
  <c r="AI234" i="3"/>
  <c r="AF234" i="3"/>
  <c r="AL234" i="3" s="1"/>
  <c r="AX234" i="3" s="1"/>
  <c r="W234" i="3"/>
  <c r="U234" i="3"/>
  <c r="T234" i="3"/>
  <c r="S234" i="3"/>
  <c r="P234" i="3"/>
  <c r="O234" i="3"/>
  <c r="N234" i="3"/>
  <c r="M234" i="3"/>
  <c r="G234" i="3"/>
  <c r="D234" i="3"/>
  <c r="C234" i="3"/>
  <c r="BB233" i="3"/>
  <c r="AW233" i="3"/>
  <c r="AV233" i="3"/>
  <c r="AT233" i="3"/>
  <c r="AP233" i="3"/>
  <c r="AO233" i="3"/>
  <c r="AN233" i="3"/>
  <c r="AM233" i="3"/>
  <c r="AI233" i="3"/>
  <c r="AL233" i="3" s="1"/>
  <c r="AX233" i="3" s="1"/>
  <c r="AF233" i="3"/>
  <c r="W233" i="3"/>
  <c r="U233" i="3"/>
  <c r="T233" i="3"/>
  <c r="S233" i="3"/>
  <c r="P233" i="3"/>
  <c r="O233" i="3"/>
  <c r="N233" i="3"/>
  <c r="M233" i="3"/>
  <c r="G233" i="3"/>
  <c r="D233" i="3"/>
  <c r="C233" i="3"/>
  <c r="BB232" i="3"/>
  <c r="AW232" i="3"/>
  <c r="AV232" i="3"/>
  <c r="AT232" i="3"/>
  <c r="AP232" i="3"/>
  <c r="AO232" i="3"/>
  <c r="AN232" i="3"/>
  <c r="AM232" i="3"/>
  <c r="AI232" i="3"/>
  <c r="AF232" i="3"/>
  <c r="W232" i="3"/>
  <c r="U232" i="3"/>
  <c r="T232" i="3"/>
  <c r="S232" i="3"/>
  <c r="P232" i="3"/>
  <c r="O232" i="3"/>
  <c r="N232" i="3"/>
  <c r="M232" i="3"/>
  <c r="G232" i="3"/>
  <c r="D232" i="3"/>
  <c r="C232" i="3"/>
  <c r="BB231" i="3"/>
  <c r="AW231" i="3"/>
  <c r="AV231" i="3"/>
  <c r="AT231" i="3"/>
  <c r="AR231" i="3"/>
  <c r="AQ231" i="3"/>
  <c r="AP231" i="3"/>
  <c r="AO231" i="3"/>
  <c r="AN231" i="3"/>
  <c r="AM231" i="3"/>
  <c r="AI231" i="3"/>
  <c r="AF231" i="3"/>
  <c r="W231" i="3"/>
  <c r="U231" i="3"/>
  <c r="T231" i="3"/>
  <c r="S231" i="3"/>
  <c r="AS231" i="3" s="1"/>
  <c r="P231" i="3"/>
  <c r="O231" i="3"/>
  <c r="N231" i="3"/>
  <c r="M231" i="3"/>
  <c r="G231" i="3"/>
  <c r="D231" i="3"/>
  <c r="C231" i="3"/>
  <c r="BB230" i="3"/>
  <c r="AW230" i="3"/>
  <c r="AV230" i="3"/>
  <c r="AT230" i="3"/>
  <c r="AR230" i="3"/>
  <c r="AQ230" i="3"/>
  <c r="AP230" i="3"/>
  <c r="AO230" i="3"/>
  <c r="AN230" i="3"/>
  <c r="AM230" i="3"/>
  <c r="AL230" i="3"/>
  <c r="AX230" i="3" s="1"/>
  <c r="AI230" i="3"/>
  <c r="AF230" i="3"/>
  <c r="W230" i="3"/>
  <c r="U230" i="3"/>
  <c r="T230" i="3"/>
  <c r="S230" i="3"/>
  <c r="AS230" i="3" s="1"/>
  <c r="P230" i="3"/>
  <c r="O230" i="3"/>
  <c r="N230" i="3"/>
  <c r="M230" i="3"/>
  <c r="G230" i="3"/>
  <c r="D230" i="3"/>
  <c r="C230" i="3"/>
  <c r="BB229" i="3"/>
  <c r="AX229" i="3"/>
  <c r="AZ229" i="3" s="1"/>
  <c r="AW229" i="3"/>
  <c r="AV229" i="3"/>
  <c r="AT229" i="3"/>
  <c r="AS229" i="3"/>
  <c r="AR229" i="3"/>
  <c r="AQ229" i="3"/>
  <c r="AP229" i="3"/>
  <c r="AO229" i="3"/>
  <c r="AN229" i="3"/>
  <c r="AM229" i="3"/>
  <c r="AL229" i="3"/>
  <c r="AI229" i="3"/>
  <c r="AF229" i="3"/>
  <c r="W229" i="3"/>
  <c r="U229" i="3"/>
  <c r="T229" i="3"/>
  <c r="S229" i="3"/>
  <c r="P229" i="3"/>
  <c r="O229" i="3"/>
  <c r="N229" i="3"/>
  <c r="M229" i="3"/>
  <c r="G229" i="3"/>
  <c r="D229" i="3"/>
  <c r="C229" i="3"/>
  <c r="BB228" i="3"/>
  <c r="AW228" i="3"/>
  <c r="AV228" i="3"/>
  <c r="AT228" i="3"/>
  <c r="AP228" i="3"/>
  <c r="AO228" i="3"/>
  <c r="AN228" i="3"/>
  <c r="AM228" i="3"/>
  <c r="AI228" i="3"/>
  <c r="AF228" i="3"/>
  <c r="AL228" i="3" s="1"/>
  <c r="AX228" i="3" s="1"/>
  <c r="W228" i="3"/>
  <c r="U228" i="3"/>
  <c r="T228" i="3"/>
  <c r="S228" i="3"/>
  <c r="P228" i="3"/>
  <c r="O228" i="3"/>
  <c r="N228" i="3"/>
  <c r="M228" i="3"/>
  <c r="G228" i="3"/>
  <c r="D228" i="3"/>
  <c r="C228" i="3"/>
  <c r="BB227" i="3"/>
  <c r="AW227" i="3"/>
  <c r="AV227" i="3"/>
  <c r="AT227" i="3"/>
  <c r="AS227" i="3"/>
  <c r="AQ227" i="3"/>
  <c r="AP227" i="3"/>
  <c r="AO227" i="3"/>
  <c r="AN227" i="3"/>
  <c r="AM227" i="3"/>
  <c r="AL227" i="3"/>
  <c r="AX227" i="3" s="1"/>
  <c r="AI227" i="3"/>
  <c r="AF227" i="3"/>
  <c r="W227" i="3"/>
  <c r="U227" i="3"/>
  <c r="T227" i="3"/>
  <c r="S227" i="3"/>
  <c r="AR227" i="3" s="1"/>
  <c r="P227" i="3"/>
  <c r="O227" i="3"/>
  <c r="N227" i="3"/>
  <c r="M227" i="3"/>
  <c r="G227" i="3"/>
  <c r="D227" i="3"/>
  <c r="C227" i="3"/>
  <c r="BB226" i="3"/>
  <c r="AY226" i="3"/>
  <c r="BA226" i="3" s="1"/>
  <c r="AW226" i="3"/>
  <c r="AV226" i="3"/>
  <c r="AT226" i="3"/>
  <c r="AP226" i="3"/>
  <c r="AO226" i="3"/>
  <c r="AN226" i="3"/>
  <c r="AM226" i="3"/>
  <c r="AI226" i="3"/>
  <c r="AL226" i="3" s="1"/>
  <c r="AX226" i="3" s="1"/>
  <c r="AZ226" i="3" s="1"/>
  <c r="AF226" i="3"/>
  <c r="W226" i="3"/>
  <c r="U226" i="3"/>
  <c r="T226" i="3"/>
  <c r="S226" i="3"/>
  <c r="P226" i="3"/>
  <c r="O226" i="3"/>
  <c r="N226" i="3"/>
  <c r="M226" i="3"/>
  <c r="G226" i="3"/>
  <c r="D226" i="3"/>
  <c r="C226" i="3"/>
  <c r="BB225" i="3"/>
  <c r="AZ225" i="3"/>
  <c r="AX225" i="3"/>
  <c r="AY225" i="3" s="1"/>
  <c r="BA225" i="3" s="1"/>
  <c r="AW225" i="3"/>
  <c r="AV225" i="3"/>
  <c r="AT225" i="3"/>
  <c r="AP225" i="3"/>
  <c r="AO225" i="3"/>
  <c r="AN225" i="3"/>
  <c r="AM225" i="3"/>
  <c r="AI225" i="3"/>
  <c r="AF225" i="3"/>
  <c r="AL225" i="3" s="1"/>
  <c r="W225" i="3"/>
  <c r="U225" i="3"/>
  <c r="T225" i="3"/>
  <c r="S225" i="3"/>
  <c r="P225" i="3"/>
  <c r="O225" i="3"/>
  <c r="N225" i="3"/>
  <c r="M225" i="3"/>
  <c r="G225" i="3"/>
  <c r="D225" i="3"/>
  <c r="C225" i="3"/>
  <c r="BB224" i="3"/>
  <c r="AX224" i="3"/>
  <c r="AW224" i="3"/>
  <c r="AV224" i="3"/>
  <c r="AT224" i="3"/>
  <c r="AP224" i="3"/>
  <c r="AO224" i="3"/>
  <c r="AN224" i="3"/>
  <c r="AM224" i="3"/>
  <c r="AI224" i="3"/>
  <c r="AL224" i="3" s="1"/>
  <c r="AF224" i="3"/>
  <c r="W224" i="3"/>
  <c r="U224" i="3"/>
  <c r="T224" i="3"/>
  <c r="S224" i="3"/>
  <c r="P224" i="3"/>
  <c r="O224" i="3"/>
  <c r="N224" i="3"/>
  <c r="M224" i="3"/>
  <c r="G224" i="3"/>
  <c r="D224" i="3"/>
  <c r="C224" i="3"/>
  <c r="BB223" i="3"/>
  <c r="AX223" i="3"/>
  <c r="AW223" i="3"/>
  <c r="AV223" i="3"/>
  <c r="AT223" i="3"/>
  <c r="AP223" i="3"/>
  <c r="AO223" i="3"/>
  <c r="AN223" i="3"/>
  <c r="AM223" i="3"/>
  <c r="AI223" i="3"/>
  <c r="AF223" i="3"/>
  <c r="AL223" i="3" s="1"/>
  <c r="W223" i="3"/>
  <c r="U223" i="3"/>
  <c r="T223" i="3"/>
  <c r="S223" i="3"/>
  <c r="P223" i="3"/>
  <c r="O223" i="3"/>
  <c r="N223" i="3"/>
  <c r="M223" i="3"/>
  <c r="G223" i="3"/>
  <c r="D223" i="3"/>
  <c r="C223" i="3"/>
  <c r="BB222" i="3"/>
  <c r="AW222" i="3"/>
  <c r="AV222" i="3"/>
  <c r="AT222" i="3"/>
  <c r="AQ222" i="3"/>
  <c r="AP222" i="3"/>
  <c r="AO222" i="3"/>
  <c r="AN222" i="3"/>
  <c r="AM222" i="3"/>
  <c r="AI222" i="3"/>
  <c r="AF222" i="3"/>
  <c r="AL222" i="3" s="1"/>
  <c r="AX222" i="3" s="1"/>
  <c r="W222" i="3"/>
  <c r="U222" i="3"/>
  <c r="T222" i="3"/>
  <c r="S222" i="3"/>
  <c r="P222" i="3"/>
  <c r="O222" i="3"/>
  <c r="N222" i="3"/>
  <c r="M222" i="3"/>
  <c r="G222" i="3"/>
  <c r="D222" i="3"/>
  <c r="C222" i="3"/>
  <c r="BB221" i="3"/>
  <c r="AW221" i="3"/>
  <c r="AV221" i="3"/>
  <c r="AT221" i="3"/>
  <c r="AS221" i="3"/>
  <c r="AQ221" i="3"/>
  <c r="AP221" i="3"/>
  <c r="AO221" i="3"/>
  <c r="AN221" i="3"/>
  <c r="AM221" i="3"/>
  <c r="AL221" i="3"/>
  <c r="AX221" i="3" s="1"/>
  <c r="AI221" i="3"/>
  <c r="AF221" i="3"/>
  <c r="W221" i="3"/>
  <c r="U221" i="3"/>
  <c r="T221" i="3"/>
  <c r="S221" i="3"/>
  <c r="AR221" i="3" s="1"/>
  <c r="P221" i="3"/>
  <c r="O221" i="3"/>
  <c r="N221" i="3"/>
  <c r="M221" i="3"/>
  <c r="G221" i="3"/>
  <c r="D221" i="3"/>
  <c r="C221" i="3"/>
  <c r="BB220" i="3"/>
  <c r="AY220" i="3"/>
  <c r="BA220" i="3" s="1"/>
  <c r="AW220" i="3"/>
  <c r="AV220" i="3"/>
  <c r="AT220" i="3"/>
  <c r="AS220" i="3"/>
  <c r="AR220" i="3"/>
  <c r="AQ220" i="3"/>
  <c r="AP220" i="3"/>
  <c r="AO220" i="3"/>
  <c r="AN220" i="3"/>
  <c r="AM220" i="3"/>
  <c r="AL220" i="3"/>
  <c r="AX220" i="3" s="1"/>
  <c r="AZ220" i="3" s="1"/>
  <c r="AI220" i="3"/>
  <c r="AF220" i="3"/>
  <c r="W220" i="3"/>
  <c r="U220" i="3"/>
  <c r="T220" i="3"/>
  <c r="S220" i="3"/>
  <c r="P220" i="3"/>
  <c r="O220" i="3"/>
  <c r="N220" i="3"/>
  <c r="M220" i="3"/>
  <c r="G220" i="3"/>
  <c r="D220" i="3"/>
  <c r="C220" i="3"/>
  <c r="BB219" i="3"/>
  <c r="BA219" i="3"/>
  <c r="AY219" i="3"/>
  <c r="AX219" i="3"/>
  <c r="AZ219" i="3" s="1"/>
  <c r="AW219" i="3"/>
  <c r="AV219" i="3"/>
  <c r="AT219" i="3"/>
  <c r="AP219" i="3"/>
  <c r="AO219" i="3"/>
  <c r="AN219" i="3"/>
  <c r="AM219" i="3"/>
  <c r="AL219" i="3"/>
  <c r="AI219" i="3"/>
  <c r="AF219" i="3"/>
  <c r="W219" i="3"/>
  <c r="U219" i="3"/>
  <c r="T219" i="3"/>
  <c r="S219" i="3"/>
  <c r="P219" i="3"/>
  <c r="O219" i="3"/>
  <c r="N219" i="3"/>
  <c r="M219" i="3"/>
  <c r="G219" i="3"/>
  <c r="D219" i="3"/>
  <c r="C219" i="3"/>
  <c r="BB218" i="3"/>
  <c r="AX218" i="3"/>
  <c r="AW218" i="3"/>
  <c r="AV218" i="3"/>
  <c r="AT218" i="3"/>
  <c r="AS218" i="3"/>
  <c r="AR218" i="3"/>
  <c r="AP218" i="3"/>
  <c r="AO218" i="3"/>
  <c r="AN218" i="3"/>
  <c r="AM218" i="3"/>
  <c r="AI218" i="3"/>
  <c r="AF218" i="3"/>
  <c r="AL218" i="3" s="1"/>
  <c r="W218" i="3"/>
  <c r="U218" i="3"/>
  <c r="T218" i="3"/>
  <c r="S218" i="3"/>
  <c r="AQ218" i="3" s="1"/>
  <c r="P218" i="3"/>
  <c r="O218" i="3"/>
  <c r="N218" i="3"/>
  <c r="M218" i="3"/>
  <c r="G218" i="3"/>
  <c r="D218" i="3"/>
  <c r="C218" i="3"/>
  <c r="BB217" i="3"/>
  <c r="AX217" i="3"/>
  <c r="AY217" i="3" s="1"/>
  <c r="BA217" i="3" s="1"/>
  <c r="AW217" i="3"/>
  <c r="AV217" i="3"/>
  <c r="AT217" i="3"/>
  <c r="AS217" i="3"/>
  <c r="AR217" i="3"/>
  <c r="AQ217" i="3"/>
  <c r="AP217" i="3"/>
  <c r="AO217" i="3"/>
  <c r="AN217" i="3"/>
  <c r="AM217" i="3"/>
  <c r="AI217" i="3"/>
  <c r="AF217" i="3"/>
  <c r="AL217" i="3" s="1"/>
  <c r="W217" i="3"/>
  <c r="U217" i="3"/>
  <c r="T217" i="3"/>
  <c r="S217" i="3"/>
  <c r="P217" i="3"/>
  <c r="O217" i="3"/>
  <c r="N217" i="3"/>
  <c r="M217" i="3"/>
  <c r="G217" i="3"/>
  <c r="D217" i="3"/>
  <c r="C217" i="3"/>
  <c r="BB216" i="3"/>
  <c r="AW216" i="3"/>
  <c r="AV216" i="3"/>
  <c r="AT216" i="3"/>
  <c r="AR216" i="3"/>
  <c r="AP216" i="3"/>
  <c r="AO216" i="3"/>
  <c r="AN216" i="3"/>
  <c r="AM216" i="3"/>
  <c r="AI216" i="3"/>
  <c r="AF216" i="3"/>
  <c r="AL216" i="3" s="1"/>
  <c r="AX216" i="3" s="1"/>
  <c r="W216" i="3"/>
  <c r="U216" i="3"/>
  <c r="T216" i="3"/>
  <c r="S216" i="3"/>
  <c r="P216" i="3"/>
  <c r="O216" i="3"/>
  <c r="N216" i="3"/>
  <c r="M216" i="3"/>
  <c r="G216" i="3"/>
  <c r="D216" i="3"/>
  <c r="C216" i="3"/>
  <c r="BB215" i="3"/>
  <c r="AW215" i="3"/>
  <c r="AV215" i="3"/>
  <c r="AT215" i="3"/>
  <c r="AS215" i="3"/>
  <c r="AR215" i="3"/>
  <c r="AQ215" i="3"/>
  <c r="AP215" i="3"/>
  <c r="AO215" i="3"/>
  <c r="AN215" i="3"/>
  <c r="AM215" i="3"/>
  <c r="AI215" i="3"/>
  <c r="AL215" i="3" s="1"/>
  <c r="AX215" i="3" s="1"/>
  <c r="AF215" i="3"/>
  <c r="W215" i="3"/>
  <c r="U215" i="3"/>
  <c r="T215" i="3"/>
  <c r="S215" i="3"/>
  <c r="P215" i="3"/>
  <c r="O215" i="3"/>
  <c r="N215" i="3"/>
  <c r="M215" i="3"/>
  <c r="G215" i="3"/>
  <c r="D215" i="3"/>
  <c r="C215" i="3"/>
  <c r="BB214" i="3"/>
  <c r="AW214" i="3"/>
  <c r="AV214" i="3"/>
  <c r="AT214" i="3"/>
  <c r="AS214" i="3"/>
  <c r="AR214" i="3"/>
  <c r="AQ214" i="3"/>
  <c r="AP214" i="3"/>
  <c r="AO214" i="3"/>
  <c r="AN214" i="3"/>
  <c r="AM214" i="3"/>
  <c r="AI214" i="3"/>
  <c r="AF214" i="3"/>
  <c r="AL214" i="3" s="1"/>
  <c r="AX214" i="3" s="1"/>
  <c r="W214" i="3"/>
  <c r="U214" i="3"/>
  <c r="T214" i="3"/>
  <c r="S214" i="3"/>
  <c r="P214" i="3"/>
  <c r="O214" i="3"/>
  <c r="N214" i="3"/>
  <c r="M214" i="3"/>
  <c r="G214" i="3"/>
  <c r="D214" i="3"/>
  <c r="C214" i="3"/>
  <c r="BB213" i="3"/>
  <c r="AW213" i="3"/>
  <c r="AV213" i="3"/>
  <c r="AT213" i="3"/>
  <c r="AS213" i="3"/>
  <c r="AQ213" i="3"/>
  <c r="AP213" i="3"/>
  <c r="AO213" i="3"/>
  <c r="AN213" i="3"/>
  <c r="AM213" i="3"/>
  <c r="AL213" i="3"/>
  <c r="AX213" i="3" s="1"/>
  <c r="AI213" i="3"/>
  <c r="AF213" i="3"/>
  <c r="W213" i="3"/>
  <c r="U213" i="3"/>
  <c r="T213" i="3"/>
  <c r="S213" i="3"/>
  <c r="AR213" i="3" s="1"/>
  <c r="P213" i="3"/>
  <c r="O213" i="3"/>
  <c r="N213" i="3"/>
  <c r="M213" i="3"/>
  <c r="G213" i="3"/>
  <c r="D213" i="3"/>
  <c r="C213" i="3"/>
  <c r="BB212" i="3"/>
  <c r="AW212" i="3"/>
  <c r="AV212" i="3"/>
  <c r="AT212" i="3"/>
  <c r="AS212" i="3"/>
  <c r="AR212" i="3"/>
  <c r="AQ212" i="3"/>
  <c r="AP212" i="3"/>
  <c r="AO212" i="3"/>
  <c r="AN212" i="3"/>
  <c r="AM212" i="3"/>
  <c r="AI212" i="3"/>
  <c r="AL212" i="3" s="1"/>
  <c r="AX212" i="3" s="1"/>
  <c r="AF212" i="3"/>
  <c r="W212" i="3"/>
  <c r="U212" i="3"/>
  <c r="T212" i="3"/>
  <c r="S212" i="3"/>
  <c r="P212" i="3"/>
  <c r="O212" i="3"/>
  <c r="N212" i="3"/>
  <c r="M212" i="3"/>
  <c r="G212" i="3"/>
  <c r="D212" i="3"/>
  <c r="C212" i="3"/>
  <c r="BB211" i="3"/>
  <c r="AX211" i="3"/>
  <c r="AW211" i="3"/>
  <c r="AV211" i="3"/>
  <c r="AT211" i="3"/>
  <c r="AP211" i="3"/>
  <c r="AO211" i="3"/>
  <c r="AN211" i="3"/>
  <c r="AM211" i="3"/>
  <c r="AL211" i="3"/>
  <c r="AI211" i="3"/>
  <c r="AF211" i="3"/>
  <c r="W211" i="3"/>
  <c r="U211" i="3"/>
  <c r="T211" i="3"/>
  <c r="S211" i="3"/>
  <c r="P211" i="3"/>
  <c r="O211" i="3"/>
  <c r="N211" i="3"/>
  <c r="M211" i="3"/>
  <c r="G211" i="3"/>
  <c r="D211" i="3"/>
  <c r="C211" i="3"/>
  <c r="BB210" i="3"/>
  <c r="AW210" i="3"/>
  <c r="AV210" i="3"/>
  <c r="AT210" i="3"/>
  <c r="AP210" i="3"/>
  <c r="AO210" i="3"/>
  <c r="AN210" i="3"/>
  <c r="AM210" i="3"/>
  <c r="AI210" i="3"/>
  <c r="AF210" i="3"/>
  <c r="W210" i="3"/>
  <c r="U210" i="3"/>
  <c r="T210" i="3"/>
  <c r="S210" i="3"/>
  <c r="P210" i="3"/>
  <c r="O210" i="3"/>
  <c r="N210" i="3"/>
  <c r="M210" i="3"/>
  <c r="G210" i="3"/>
  <c r="D210" i="3"/>
  <c r="C210" i="3"/>
  <c r="BB209" i="3"/>
  <c r="AZ209" i="3"/>
  <c r="AX209" i="3"/>
  <c r="AY209" i="3" s="1"/>
  <c r="BA209" i="3" s="1"/>
  <c r="AW209" i="3"/>
  <c r="AV209" i="3"/>
  <c r="AT209" i="3"/>
  <c r="AP209" i="3"/>
  <c r="AO209" i="3"/>
  <c r="AN209" i="3"/>
  <c r="AM209" i="3"/>
  <c r="AI209" i="3"/>
  <c r="AF209" i="3"/>
  <c r="AL209" i="3" s="1"/>
  <c r="W209" i="3"/>
  <c r="U209" i="3"/>
  <c r="T209" i="3"/>
  <c r="S209" i="3"/>
  <c r="P209" i="3"/>
  <c r="O209" i="3"/>
  <c r="N209" i="3"/>
  <c r="M209" i="3"/>
  <c r="G209" i="3"/>
  <c r="D209" i="3"/>
  <c r="C209" i="3"/>
  <c r="BB208" i="3"/>
  <c r="AW208" i="3"/>
  <c r="AV208" i="3"/>
  <c r="AT208" i="3"/>
  <c r="AR208" i="3"/>
  <c r="AQ208" i="3"/>
  <c r="AP208" i="3"/>
  <c r="AO208" i="3"/>
  <c r="AN208" i="3"/>
  <c r="AM208" i="3"/>
  <c r="AI208" i="3"/>
  <c r="AL208" i="3" s="1"/>
  <c r="AX208" i="3" s="1"/>
  <c r="AF208" i="3"/>
  <c r="W208" i="3"/>
  <c r="U208" i="3"/>
  <c r="T208" i="3"/>
  <c r="S208" i="3"/>
  <c r="AS208" i="3" s="1"/>
  <c r="P208" i="3"/>
  <c r="O208" i="3"/>
  <c r="N208" i="3"/>
  <c r="M208" i="3"/>
  <c r="G208" i="3"/>
  <c r="D208" i="3"/>
  <c r="C208" i="3"/>
  <c r="BB207" i="3"/>
  <c r="AW207" i="3"/>
  <c r="AV207" i="3"/>
  <c r="AT207" i="3"/>
  <c r="AS207" i="3"/>
  <c r="AR207" i="3"/>
  <c r="AQ207" i="3"/>
  <c r="AP207" i="3"/>
  <c r="AO207" i="3"/>
  <c r="AN207" i="3"/>
  <c r="AM207" i="3"/>
  <c r="AL207" i="3"/>
  <c r="AX207" i="3" s="1"/>
  <c r="AI207" i="3"/>
  <c r="AF207" i="3"/>
  <c r="W207" i="3"/>
  <c r="U207" i="3"/>
  <c r="T207" i="3"/>
  <c r="S207" i="3"/>
  <c r="P207" i="3"/>
  <c r="O207" i="3"/>
  <c r="N207" i="3"/>
  <c r="M207" i="3"/>
  <c r="G207" i="3"/>
  <c r="D207" i="3"/>
  <c r="C207" i="3"/>
  <c r="BB206" i="3"/>
  <c r="AW206" i="3"/>
  <c r="AV206" i="3"/>
  <c r="AT206" i="3"/>
  <c r="AS206" i="3"/>
  <c r="AQ206" i="3"/>
  <c r="AP206" i="3"/>
  <c r="AO206" i="3"/>
  <c r="AN206" i="3"/>
  <c r="AM206" i="3"/>
  <c r="AL206" i="3"/>
  <c r="AX206" i="3" s="1"/>
  <c r="AI206" i="3"/>
  <c r="AF206" i="3"/>
  <c r="W206" i="3"/>
  <c r="U206" i="3"/>
  <c r="T206" i="3"/>
  <c r="S206" i="3"/>
  <c r="AR206" i="3" s="1"/>
  <c r="P206" i="3"/>
  <c r="O206" i="3"/>
  <c r="N206" i="3"/>
  <c r="M206" i="3"/>
  <c r="G206" i="3"/>
  <c r="D206" i="3"/>
  <c r="C206" i="3"/>
  <c r="BB205" i="3"/>
  <c r="AX205" i="3"/>
  <c r="AW205" i="3"/>
  <c r="AV205" i="3"/>
  <c r="AT205" i="3"/>
  <c r="AS205" i="3"/>
  <c r="AQ205" i="3"/>
  <c r="AP205" i="3"/>
  <c r="AO205" i="3"/>
  <c r="AN205" i="3"/>
  <c r="AM205" i="3"/>
  <c r="AL205" i="3"/>
  <c r="AI205" i="3"/>
  <c r="AF205" i="3"/>
  <c r="W205" i="3"/>
  <c r="U205" i="3"/>
  <c r="T205" i="3"/>
  <c r="S205" i="3"/>
  <c r="AR205" i="3" s="1"/>
  <c r="P205" i="3"/>
  <c r="O205" i="3"/>
  <c r="N205" i="3"/>
  <c r="M205" i="3"/>
  <c r="G205" i="3"/>
  <c r="D205" i="3"/>
  <c r="C205" i="3"/>
  <c r="BB204" i="3"/>
  <c r="AX204" i="3"/>
  <c r="AW204" i="3"/>
  <c r="AV204" i="3"/>
  <c r="AT204" i="3"/>
  <c r="AR204" i="3"/>
  <c r="AQ204" i="3"/>
  <c r="AP204" i="3"/>
  <c r="AO204" i="3"/>
  <c r="AN204" i="3"/>
  <c r="AM204" i="3"/>
  <c r="AI204" i="3"/>
  <c r="AL204" i="3" s="1"/>
  <c r="AF204" i="3"/>
  <c r="W204" i="3"/>
  <c r="U204" i="3"/>
  <c r="T204" i="3"/>
  <c r="S204" i="3"/>
  <c r="AS204" i="3" s="1"/>
  <c r="P204" i="3"/>
  <c r="O204" i="3"/>
  <c r="N204" i="3"/>
  <c r="M204" i="3"/>
  <c r="G204" i="3"/>
  <c r="D204" i="3"/>
  <c r="C204" i="3"/>
  <c r="BB203" i="3"/>
  <c r="AX203" i="3"/>
  <c r="AZ203" i="3" s="1"/>
  <c r="AW203" i="3"/>
  <c r="AV203" i="3"/>
  <c r="AT203" i="3"/>
  <c r="AR203" i="3"/>
  <c r="AP203" i="3"/>
  <c r="AO203" i="3"/>
  <c r="AN203" i="3"/>
  <c r="AM203" i="3"/>
  <c r="AI203" i="3"/>
  <c r="AL203" i="3" s="1"/>
  <c r="AF203" i="3"/>
  <c r="W203" i="3"/>
  <c r="U203" i="3"/>
  <c r="T203" i="3"/>
  <c r="S203" i="3"/>
  <c r="P203" i="3"/>
  <c r="O203" i="3"/>
  <c r="N203" i="3"/>
  <c r="M203" i="3"/>
  <c r="G203" i="3"/>
  <c r="D203" i="3"/>
  <c r="C203" i="3"/>
  <c r="BB202" i="3"/>
  <c r="AZ202" i="3"/>
  <c r="AW202" i="3"/>
  <c r="AV202" i="3"/>
  <c r="AT202" i="3"/>
  <c r="AR202" i="3"/>
  <c r="AP202" i="3"/>
  <c r="AO202" i="3"/>
  <c r="AN202" i="3"/>
  <c r="AM202" i="3"/>
  <c r="AI202" i="3"/>
  <c r="AF202" i="3"/>
  <c r="AL202" i="3" s="1"/>
  <c r="AX202" i="3" s="1"/>
  <c r="AY202" i="3" s="1"/>
  <c r="BA202" i="3" s="1"/>
  <c r="W202" i="3"/>
  <c r="U202" i="3"/>
  <c r="T202" i="3"/>
  <c r="S202" i="3"/>
  <c r="P202" i="3"/>
  <c r="O202" i="3"/>
  <c r="N202" i="3"/>
  <c r="M202" i="3"/>
  <c r="G202" i="3"/>
  <c r="D202" i="3"/>
  <c r="C202" i="3"/>
  <c r="BB201" i="3"/>
  <c r="AZ201" i="3"/>
  <c r="AX201" i="3"/>
  <c r="AY201" i="3" s="1"/>
  <c r="BA201" i="3" s="1"/>
  <c r="AW201" i="3"/>
  <c r="AV201" i="3"/>
  <c r="AT201" i="3"/>
  <c r="AP201" i="3"/>
  <c r="AO201" i="3"/>
  <c r="AN201" i="3"/>
  <c r="AM201" i="3"/>
  <c r="AI201" i="3"/>
  <c r="AF201" i="3"/>
  <c r="AL201" i="3" s="1"/>
  <c r="W201" i="3"/>
  <c r="U201" i="3"/>
  <c r="T201" i="3"/>
  <c r="S201" i="3"/>
  <c r="AQ201" i="3" s="1"/>
  <c r="P201" i="3"/>
  <c r="O201" i="3"/>
  <c r="N201" i="3"/>
  <c r="M201" i="3"/>
  <c r="G201" i="3"/>
  <c r="D201" i="3"/>
  <c r="C201" i="3"/>
  <c r="BB200" i="3"/>
  <c r="AW200" i="3"/>
  <c r="AV200" i="3"/>
  <c r="AT200" i="3"/>
  <c r="AP200" i="3"/>
  <c r="AO200" i="3"/>
  <c r="AN200" i="3"/>
  <c r="AM200" i="3"/>
  <c r="AI200" i="3"/>
  <c r="AF200" i="3"/>
  <c r="AL200" i="3" s="1"/>
  <c r="AX200" i="3" s="1"/>
  <c r="W200" i="3"/>
  <c r="U200" i="3"/>
  <c r="T200" i="3"/>
  <c r="S200" i="3"/>
  <c r="P200" i="3"/>
  <c r="O200" i="3"/>
  <c r="N200" i="3"/>
  <c r="M200" i="3"/>
  <c r="G200" i="3"/>
  <c r="D200" i="3"/>
  <c r="C200" i="3"/>
  <c r="BB199" i="3"/>
  <c r="AW199" i="3"/>
  <c r="AV199" i="3"/>
  <c r="AT199" i="3"/>
  <c r="AS199" i="3"/>
  <c r="AQ199" i="3"/>
  <c r="AP199" i="3"/>
  <c r="AO199" i="3"/>
  <c r="AN199" i="3"/>
  <c r="AM199" i="3"/>
  <c r="AI199" i="3"/>
  <c r="AL199" i="3" s="1"/>
  <c r="AX199" i="3" s="1"/>
  <c r="AF199" i="3"/>
  <c r="W199" i="3"/>
  <c r="U199" i="3"/>
  <c r="T199" i="3"/>
  <c r="S199" i="3"/>
  <c r="AR199" i="3" s="1"/>
  <c r="P199" i="3"/>
  <c r="O199" i="3"/>
  <c r="N199" i="3"/>
  <c r="M199" i="3"/>
  <c r="G199" i="3"/>
  <c r="D199" i="3"/>
  <c r="C199" i="3"/>
  <c r="BB198" i="3"/>
  <c r="AW198" i="3"/>
  <c r="AV198" i="3"/>
  <c r="AT198" i="3"/>
  <c r="AS198" i="3"/>
  <c r="AR198" i="3"/>
  <c r="AQ198" i="3"/>
  <c r="AP198" i="3"/>
  <c r="AO198" i="3"/>
  <c r="AN198" i="3"/>
  <c r="AM198" i="3"/>
  <c r="AL198" i="3"/>
  <c r="AX198" i="3" s="1"/>
  <c r="AI198" i="3"/>
  <c r="AF198" i="3"/>
  <c r="W198" i="3"/>
  <c r="U198" i="3"/>
  <c r="T198" i="3"/>
  <c r="S198" i="3"/>
  <c r="P198" i="3"/>
  <c r="O198" i="3"/>
  <c r="N198" i="3"/>
  <c r="M198" i="3"/>
  <c r="G198" i="3"/>
  <c r="D198" i="3"/>
  <c r="C198" i="3"/>
  <c r="BB197" i="3"/>
  <c r="AW197" i="3"/>
  <c r="AV197" i="3"/>
  <c r="AT197" i="3"/>
  <c r="AS197" i="3"/>
  <c r="AP197" i="3"/>
  <c r="AO197" i="3"/>
  <c r="AN197" i="3"/>
  <c r="AM197" i="3"/>
  <c r="AL197" i="3"/>
  <c r="AX197" i="3" s="1"/>
  <c r="AI197" i="3"/>
  <c r="AF197" i="3"/>
  <c r="W197" i="3"/>
  <c r="U197" i="3"/>
  <c r="T197" i="3"/>
  <c r="S197" i="3"/>
  <c r="P197" i="3"/>
  <c r="O197" i="3"/>
  <c r="N197" i="3"/>
  <c r="M197" i="3"/>
  <c r="G197" i="3"/>
  <c r="D197" i="3"/>
  <c r="C197" i="3"/>
  <c r="BB196" i="3"/>
  <c r="AW196" i="3"/>
  <c r="AV196" i="3"/>
  <c r="AT196" i="3"/>
  <c r="AS196" i="3"/>
  <c r="AR196" i="3"/>
  <c r="AP196" i="3"/>
  <c r="AO196" i="3"/>
  <c r="AN196" i="3"/>
  <c r="AM196" i="3"/>
  <c r="AI196" i="3"/>
  <c r="AL196" i="3" s="1"/>
  <c r="AX196" i="3" s="1"/>
  <c r="AF196" i="3"/>
  <c r="W196" i="3"/>
  <c r="U196" i="3"/>
  <c r="T196" i="3"/>
  <c r="S196" i="3"/>
  <c r="AQ196" i="3" s="1"/>
  <c r="P196" i="3"/>
  <c r="O196" i="3"/>
  <c r="N196" i="3"/>
  <c r="M196" i="3"/>
  <c r="G196" i="3"/>
  <c r="D196" i="3"/>
  <c r="C196" i="3"/>
  <c r="BB195" i="3"/>
  <c r="AX195" i="3"/>
  <c r="AW195" i="3"/>
  <c r="AV195" i="3"/>
  <c r="AT195" i="3"/>
  <c r="AS195" i="3"/>
  <c r="AP195" i="3"/>
  <c r="AO195" i="3"/>
  <c r="AN195" i="3"/>
  <c r="AM195" i="3"/>
  <c r="AI195" i="3"/>
  <c r="AF195" i="3"/>
  <c r="AL195" i="3" s="1"/>
  <c r="W195" i="3"/>
  <c r="U195" i="3"/>
  <c r="T195" i="3"/>
  <c r="S195" i="3"/>
  <c r="P195" i="3"/>
  <c r="O195" i="3"/>
  <c r="N195" i="3"/>
  <c r="M195" i="3"/>
  <c r="G195" i="3"/>
  <c r="D195" i="3"/>
  <c r="C195" i="3"/>
  <c r="BB194" i="3"/>
  <c r="BA194" i="3"/>
  <c r="AZ194" i="3"/>
  <c r="AW194" i="3"/>
  <c r="AV194" i="3"/>
  <c r="AT194" i="3"/>
  <c r="AP194" i="3"/>
  <c r="AO194" i="3"/>
  <c r="AN194" i="3"/>
  <c r="AM194" i="3"/>
  <c r="AI194" i="3"/>
  <c r="AF194" i="3"/>
  <c r="AL194" i="3" s="1"/>
  <c r="AX194" i="3" s="1"/>
  <c r="AY194" i="3" s="1"/>
  <c r="W194" i="3"/>
  <c r="U194" i="3"/>
  <c r="T194" i="3"/>
  <c r="S194" i="3"/>
  <c r="P194" i="3"/>
  <c r="O194" i="3"/>
  <c r="N194" i="3"/>
  <c r="M194" i="3"/>
  <c r="G194" i="3"/>
  <c r="D194" i="3"/>
  <c r="C194" i="3"/>
  <c r="BB193" i="3"/>
  <c r="AW193" i="3"/>
  <c r="AV193" i="3"/>
  <c r="AT193" i="3"/>
  <c r="AP193" i="3"/>
  <c r="AO193" i="3"/>
  <c r="AN193" i="3"/>
  <c r="AM193" i="3"/>
  <c r="AL193" i="3"/>
  <c r="AX193" i="3" s="1"/>
  <c r="AI193" i="3"/>
  <c r="AF193" i="3"/>
  <c r="W193" i="3"/>
  <c r="U193" i="3"/>
  <c r="T193" i="3"/>
  <c r="S193" i="3"/>
  <c r="P193" i="3"/>
  <c r="O193" i="3"/>
  <c r="N193" i="3"/>
  <c r="M193" i="3"/>
  <c r="G193" i="3"/>
  <c r="D193" i="3"/>
  <c r="C193" i="3"/>
  <c r="BB192" i="3"/>
  <c r="AW192" i="3"/>
  <c r="AV192" i="3"/>
  <c r="AT192" i="3"/>
  <c r="AS192" i="3"/>
  <c r="AR192" i="3"/>
  <c r="AQ192" i="3"/>
  <c r="AP192" i="3"/>
  <c r="AO192" i="3"/>
  <c r="AN192" i="3"/>
  <c r="AM192" i="3"/>
  <c r="AI192" i="3"/>
  <c r="AF192" i="3"/>
  <c r="AL192" i="3" s="1"/>
  <c r="AX192" i="3" s="1"/>
  <c r="W192" i="3"/>
  <c r="U192" i="3"/>
  <c r="T192" i="3"/>
  <c r="S192" i="3"/>
  <c r="P192" i="3"/>
  <c r="O192" i="3"/>
  <c r="N192" i="3"/>
  <c r="M192" i="3"/>
  <c r="G192" i="3"/>
  <c r="D192" i="3"/>
  <c r="C192" i="3"/>
  <c r="BB191" i="3"/>
  <c r="AW191" i="3"/>
  <c r="AV191" i="3"/>
  <c r="AT191" i="3"/>
  <c r="AS191" i="3"/>
  <c r="AQ191" i="3"/>
  <c r="AP191" i="3"/>
  <c r="AO191" i="3"/>
  <c r="AN191" i="3"/>
  <c r="AM191" i="3"/>
  <c r="AL191" i="3"/>
  <c r="AX191" i="3" s="1"/>
  <c r="AI191" i="3"/>
  <c r="AF191" i="3"/>
  <c r="W191" i="3"/>
  <c r="U191" i="3"/>
  <c r="T191" i="3"/>
  <c r="S191" i="3"/>
  <c r="AR191" i="3" s="1"/>
  <c r="P191" i="3"/>
  <c r="O191" i="3"/>
  <c r="N191" i="3"/>
  <c r="M191" i="3"/>
  <c r="G191" i="3"/>
  <c r="D191" i="3"/>
  <c r="C191" i="3"/>
  <c r="BB190" i="3"/>
  <c r="AW190" i="3"/>
  <c r="AV190" i="3"/>
  <c r="AT190" i="3"/>
  <c r="AS190" i="3"/>
  <c r="AR190" i="3"/>
  <c r="AQ190" i="3"/>
  <c r="AP190" i="3"/>
  <c r="AO190" i="3"/>
  <c r="AN190" i="3"/>
  <c r="AM190" i="3"/>
  <c r="AI190" i="3"/>
  <c r="AF190" i="3"/>
  <c r="AL190" i="3" s="1"/>
  <c r="AX190" i="3" s="1"/>
  <c r="W190" i="3"/>
  <c r="U190" i="3"/>
  <c r="T190" i="3"/>
  <c r="S190" i="3"/>
  <c r="P190" i="3"/>
  <c r="O190" i="3"/>
  <c r="N190" i="3"/>
  <c r="M190" i="3"/>
  <c r="G190" i="3"/>
  <c r="D190" i="3"/>
  <c r="C190" i="3"/>
  <c r="BB189" i="3"/>
  <c r="AW189" i="3"/>
  <c r="AV189" i="3"/>
  <c r="AT189" i="3"/>
  <c r="AP189" i="3"/>
  <c r="AO189" i="3"/>
  <c r="AN189" i="3"/>
  <c r="AM189" i="3"/>
  <c r="AI189" i="3"/>
  <c r="AL189" i="3" s="1"/>
  <c r="AX189" i="3" s="1"/>
  <c r="AF189" i="3"/>
  <c r="W189" i="3"/>
  <c r="U189" i="3"/>
  <c r="T189" i="3"/>
  <c r="S189" i="3"/>
  <c r="P189" i="3"/>
  <c r="O189" i="3"/>
  <c r="N189" i="3"/>
  <c r="M189" i="3"/>
  <c r="G189" i="3"/>
  <c r="D189" i="3"/>
  <c r="C189" i="3"/>
  <c r="BB188" i="3"/>
  <c r="AW188" i="3"/>
  <c r="AV188" i="3"/>
  <c r="AT188" i="3"/>
  <c r="AS188" i="3"/>
  <c r="AR188" i="3"/>
  <c r="AP188" i="3"/>
  <c r="AO188" i="3"/>
  <c r="AN188" i="3"/>
  <c r="AM188" i="3"/>
  <c r="AI188" i="3"/>
  <c r="AF188" i="3"/>
  <c r="W188" i="3"/>
  <c r="U188" i="3"/>
  <c r="T188" i="3"/>
  <c r="S188" i="3"/>
  <c r="AQ188" i="3" s="1"/>
  <c r="P188" i="3"/>
  <c r="O188" i="3"/>
  <c r="N188" i="3"/>
  <c r="M188" i="3"/>
  <c r="G188" i="3"/>
  <c r="D188" i="3"/>
  <c r="C188" i="3"/>
  <c r="BB187" i="3"/>
  <c r="AW187" i="3"/>
  <c r="AV187" i="3"/>
  <c r="AT187" i="3"/>
  <c r="AP187" i="3"/>
  <c r="AO187" i="3"/>
  <c r="AN187" i="3"/>
  <c r="AM187" i="3"/>
  <c r="AI187" i="3"/>
  <c r="AF187" i="3"/>
  <c r="W187" i="3"/>
  <c r="U187" i="3"/>
  <c r="T187" i="3"/>
  <c r="S187" i="3"/>
  <c r="P187" i="3"/>
  <c r="O187" i="3"/>
  <c r="N187" i="3"/>
  <c r="M187" i="3"/>
  <c r="G187" i="3"/>
  <c r="D187" i="3"/>
  <c r="C187" i="3"/>
  <c r="BB186" i="3"/>
  <c r="AZ186" i="3"/>
  <c r="AY186" i="3"/>
  <c r="BA186" i="3" s="1"/>
  <c r="AW186" i="3"/>
  <c r="AV186" i="3"/>
  <c r="AT186" i="3"/>
  <c r="AR186" i="3"/>
  <c r="AQ186" i="3"/>
  <c r="AP186" i="3"/>
  <c r="AO186" i="3"/>
  <c r="AN186" i="3"/>
  <c r="AM186" i="3"/>
  <c r="AI186" i="3"/>
  <c r="AL186" i="3" s="1"/>
  <c r="AX186" i="3" s="1"/>
  <c r="AF186" i="3"/>
  <c r="W186" i="3"/>
  <c r="U186" i="3"/>
  <c r="T186" i="3"/>
  <c r="S186" i="3"/>
  <c r="AS186" i="3" s="1"/>
  <c r="P186" i="3"/>
  <c r="O186" i="3"/>
  <c r="N186" i="3"/>
  <c r="M186" i="3"/>
  <c r="G186" i="3"/>
  <c r="D186" i="3"/>
  <c r="C186" i="3"/>
  <c r="BB185" i="3"/>
  <c r="AZ185" i="3"/>
  <c r="AW185" i="3"/>
  <c r="AV185" i="3"/>
  <c r="AT185" i="3"/>
  <c r="AS185" i="3"/>
  <c r="AR185" i="3"/>
  <c r="AQ185" i="3"/>
  <c r="AP185" i="3"/>
  <c r="AO185" i="3"/>
  <c r="AN185" i="3"/>
  <c r="AM185" i="3"/>
  <c r="AI185" i="3"/>
  <c r="AF185" i="3"/>
  <c r="AL185" i="3" s="1"/>
  <c r="AX185" i="3" s="1"/>
  <c r="AY185" i="3" s="1"/>
  <c r="BA185" i="3" s="1"/>
  <c r="W185" i="3"/>
  <c r="U185" i="3"/>
  <c r="T185" i="3"/>
  <c r="S185" i="3"/>
  <c r="P185" i="3"/>
  <c r="O185" i="3"/>
  <c r="N185" i="3"/>
  <c r="M185" i="3"/>
  <c r="G185" i="3"/>
  <c r="D185" i="3"/>
  <c r="C185" i="3"/>
  <c r="BB184" i="3"/>
  <c r="BA184" i="3"/>
  <c r="AZ184" i="3"/>
  <c r="AW184" i="3"/>
  <c r="AV184" i="3"/>
  <c r="AT184" i="3"/>
  <c r="AS184" i="3"/>
  <c r="AQ184" i="3"/>
  <c r="AP184" i="3"/>
  <c r="AO184" i="3"/>
  <c r="AN184" i="3"/>
  <c r="AM184" i="3"/>
  <c r="AI184" i="3"/>
  <c r="AF184" i="3"/>
  <c r="AL184" i="3" s="1"/>
  <c r="AX184" i="3" s="1"/>
  <c r="AY184" i="3" s="1"/>
  <c r="W184" i="3"/>
  <c r="U184" i="3"/>
  <c r="T184" i="3"/>
  <c r="S184" i="3"/>
  <c r="AR184" i="3" s="1"/>
  <c r="P184" i="3"/>
  <c r="O184" i="3"/>
  <c r="N184" i="3"/>
  <c r="M184" i="3"/>
  <c r="G184" i="3"/>
  <c r="D184" i="3"/>
  <c r="C184" i="3"/>
  <c r="BB183" i="3"/>
  <c r="AW183" i="3"/>
  <c r="AV183" i="3"/>
  <c r="AT183" i="3"/>
  <c r="AS183" i="3"/>
  <c r="AQ183" i="3"/>
  <c r="AP183" i="3"/>
  <c r="AO183" i="3"/>
  <c r="AN183" i="3"/>
  <c r="AM183" i="3"/>
  <c r="AI183" i="3"/>
  <c r="AF183" i="3"/>
  <c r="AL183" i="3" s="1"/>
  <c r="AX183" i="3" s="1"/>
  <c r="W183" i="3"/>
  <c r="U183" i="3"/>
  <c r="T183" i="3"/>
  <c r="S183" i="3"/>
  <c r="AR183" i="3" s="1"/>
  <c r="P183" i="3"/>
  <c r="O183" i="3"/>
  <c r="N183" i="3"/>
  <c r="M183" i="3"/>
  <c r="G183" i="3"/>
  <c r="D183" i="3"/>
  <c r="C183" i="3"/>
  <c r="BB182" i="3"/>
  <c r="AW182" i="3"/>
  <c r="AV182" i="3"/>
  <c r="AT182" i="3"/>
  <c r="AP182" i="3"/>
  <c r="AO182" i="3"/>
  <c r="AN182" i="3"/>
  <c r="AM182" i="3"/>
  <c r="AI182" i="3"/>
  <c r="AL182" i="3" s="1"/>
  <c r="AX182" i="3" s="1"/>
  <c r="AF182" i="3"/>
  <c r="W182" i="3"/>
  <c r="U182" i="3"/>
  <c r="T182" i="3"/>
  <c r="S182" i="3"/>
  <c r="P182" i="3"/>
  <c r="O182" i="3"/>
  <c r="N182" i="3"/>
  <c r="M182" i="3"/>
  <c r="G182" i="3"/>
  <c r="D182" i="3"/>
  <c r="C182" i="3"/>
  <c r="BB181" i="3"/>
  <c r="AW181" i="3"/>
  <c r="AV181" i="3"/>
  <c r="AT181" i="3"/>
  <c r="AR181" i="3"/>
  <c r="AP181" i="3"/>
  <c r="AO181" i="3"/>
  <c r="AN181" i="3"/>
  <c r="AM181" i="3"/>
  <c r="AI181" i="3"/>
  <c r="AL181" i="3" s="1"/>
  <c r="AX181" i="3" s="1"/>
  <c r="AY181" i="3" s="1"/>
  <c r="BA181" i="3" s="1"/>
  <c r="AF181" i="3"/>
  <c r="W181" i="3"/>
  <c r="U181" i="3"/>
  <c r="T181" i="3"/>
  <c r="S181" i="3"/>
  <c r="P181" i="3"/>
  <c r="O181" i="3"/>
  <c r="N181" i="3"/>
  <c r="M181" i="3"/>
  <c r="G181" i="3"/>
  <c r="D181" i="3"/>
  <c r="C181" i="3"/>
  <c r="BB180" i="3"/>
  <c r="AW180" i="3"/>
  <c r="AV180" i="3"/>
  <c r="AT180" i="3"/>
  <c r="AR180" i="3"/>
  <c r="AP180" i="3"/>
  <c r="AO180" i="3"/>
  <c r="AN180" i="3"/>
  <c r="AM180" i="3"/>
  <c r="AL180" i="3"/>
  <c r="AX180" i="3" s="1"/>
  <c r="AY180" i="3" s="1"/>
  <c r="BA180" i="3" s="1"/>
  <c r="AI180" i="3"/>
  <c r="AF180" i="3"/>
  <c r="W180" i="3"/>
  <c r="U180" i="3"/>
  <c r="T180" i="3"/>
  <c r="S180" i="3"/>
  <c r="P180" i="3"/>
  <c r="O180" i="3"/>
  <c r="N180" i="3"/>
  <c r="M180" i="3"/>
  <c r="G180" i="3"/>
  <c r="D180" i="3"/>
  <c r="C180" i="3"/>
  <c r="BB179" i="3"/>
  <c r="AX179" i="3"/>
  <c r="AW179" i="3"/>
  <c r="AV179" i="3"/>
  <c r="AT179" i="3"/>
  <c r="AS179" i="3"/>
  <c r="AR179" i="3"/>
  <c r="AQ179" i="3"/>
  <c r="AP179" i="3"/>
  <c r="AO179" i="3"/>
  <c r="AN179" i="3"/>
  <c r="AM179" i="3"/>
  <c r="AI179" i="3"/>
  <c r="AF179" i="3"/>
  <c r="AL179" i="3" s="1"/>
  <c r="W179" i="3"/>
  <c r="U179" i="3"/>
  <c r="T179" i="3"/>
  <c r="S179" i="3"/>
  <c r="P179" i="3"/>
  <c r="O179" i="3"/>
  <c r="N179" i="3"/>
  <c r="M179" i="3"/>
  <c r="G179" i="3"/>
  <c r="D179" i="3"/>
  <c r="C179" i="3"/>
  <c r="BB178" i="3"/>
  <c r="AW178" i="3"/>
  <c r="AV178" i="3"/>
  <c r="AT178" i="3"/>
  <c r="AP178" i="3"/>
  <c r="AO178" i="3"/>
  <c r="AN178" i="3"/>
  <c r="AM178" i="3"/>
  <c r="AL178" i="3"/>
  <c r="AX178" i="3" s="1"/>
  <c r="AY178" i="3" s="1"/>
  <c r="BA178" i="3" s="1"/>
  <c r="AI178" i="3"/>
  <c r="AF178" i="3"/>
  <c r="W178" i="3"/>
  <c r="U178" i="3"/>
  <c r="T178" i="3"/>
  <c r="S178" i="3"/>
  <c r="P178" i="3"/>
  <c r="O178" i="3"/>
  <c r="N178" i="3"/>
  <c r="M178" i="3"/>
  <c r="G178" i="3"/>
  <c r="D178" i="3"/>
  <c r="C178" i="3"/>
  <c r="BB177" i="3"/>
  <c r="AW177" i="3"/>
  <c r="AV177" i="3"/>
  <c r="AT177" i="3"/>
  <c r="AS177" i="3"/>
  <c r="AQ177" i="3"/>
  <c r="AP177" i="3"/>
  <c r="AO177" i="3"/>
  <c r="AN177" i="3"/>
  <c r="AM177" i="3"/>
  <c r="AL177" i="3"/>
  <c r="AX177" i="3" s="1"/>
  <c r="AI177" i="3"/>
  <c r="AF177" i="3"/>
  <c r="W177" i="3"/>
  <c r="U177" i="3"/>
  <c r="T177" i="3"/>
  <c r="S177" i="3"/>
  <c r="AR177" i="3" s="1"/>
  <c r="P177" i="3"/>
  <c r="O177" i="3"/>
  <c r="N177" i="3"/>
  <c r="M177" i="3"/>
  <c r="G177" i="3"/>
  <c r="D177" i="3"/>
  <c r="C177" i="3"/>
  <c r="BB176" i="3"/>
  <c r="AW176" i="3"/>
  <c r="AV176" i="3"/>
  <c r="AT176" i="3"/>
  <c r="AS176" i="3"/>
  <c r="AR176" i="3"/>
  <c r="AQ176" i="3"/>
  <c r="AP176" i="3"/>
  <c r="AO176" i="3"/>
  <c r="AN176" i="3"/>
  <c r="AM176" i="3"/>
  <c r="AL176" i="3"/>
  <c r="AX176" i="3" s="1"/>
  <c r="AI176" i="3"/>
  <c r="AF176" i="3"/>
  <c r="W176" i="3"/>
  <c r="U176" i="3"/>
  <c r="T176" i="3"/>
  <c r="S176" i="3"/>
  <c r="P176" i="3"/>
  <c r="O176" i="3"/>
  <c r="N176" i="3"/>
  <c r="M176" i="3"/>
  <c r="G176" i="3"/>
  <c r="D176" i="3"/>
  <c r="C176" i="3"/>
  <c r="BB175" i="3"/>
  <c r="AY175" i="3"/>
  <c r="BA175" i="3" s="1"/>
  <c r="AW175" i="3"/>
  <c r="AV175" i="3"/>
  <c r="AT175" i="3"/>
  <c r="AP175" i="3"/>
  <c r="AO175" i="3"/>
  <c r="AN175" i="3"/>
  <c r="AM175" i="3"/>
  <c r="AL175" i="3"/>
  <c r="AX175" i="3" s="1"/>
  <c r="AZ175" i="3" s="1"/>
  <c r="AI175" i="3"/>
  <c r="AF175" i="3"/>
  <c r="W175" i="3"/>
  <c r="U175" i="3"/>
  <c r="T175" i="3"/>
  <c r="S175" i="3"/>
  <c r="P175" i="3"/>
  <c r="O175" i="3"/>
  <c r="N175" i="3"/>
  <c r="M175" i="3"/>
  <c r="G175" i="3"/>
  <c r="D175" i="3"/>
  <c r="C175" i="3"/>
  <c r="BB174" i="3"/>
  <c r="AW174" i="3"/>
  <c r="AV174" i="3"/>
  <c r="AT174" i="3"/>
  <c r="AS174" i="3"/>
  <c r="AR174" i="3"/>
  <c r="AP174" i="3"/>
  <c r="AO174" i="3"/>
  <c r="AN174" i="3"/>
  <c r="AM174" i="3"/>
  <c r="AI174" i="3"/>
  <c r="AF174" i="3"/>
  <c r="AL174" i="3" s="1"/>
  <c r="AX174" i="3" s="1"/>
  <c r="W174" i="3"/>
  <c r="U174" i="3"/>
  <c r="T174" i="3"/>
  <c r="S174" i="3"/>
  <c r="AQ174" i="3" s="1"/>
  <c r="P174" i="3"/>
  <c r="O174" i="3"/>
  <c r="N174" i="3"/>
  <c r="M174" i="3"/>
  <c r="G174" i="3"/>
  <c r="D174" i="3"/>
  <c r="C174" i="3"/>
  <c r="BB173" i="3"/>
  <c r="BA173" i="3"/>
  <c r="AX173" i="3"/>
  <c r="AY173" i="3" s="1"/>
  <c r="AW173" i="3"/>
  <c r="AV173" i="3"/>
  <c r="AT173" i="3"/>
  <c r="AP173" i="3"/>
  <c r="AO173" i="3"/>
  <c r="AN173" i="3"/>
  <c r="AM173" i="3"/>
  <c r="AI173" i="3"/>
  <c r="AF173" i="3"/>
  <c r="AL173" i="3" s="1"/>
  <c r="W173" i="3"/>
  <c r="U173" i="3"/>
  <c r="T173" i="3"/>
  <c r="S173" i="3"/>
  <c r="P173" i="3"/>
  <c r="O173" i="3"/>
  <c r="N173" i="3"/>
  <c r="M173" i="3"/>
  <c r="G173" i="3"/>
  <c r="D173" i="3"/>
  <c r="C173" i="3"/>
  <c r="BB172" i="3"/>
  <c r="AW172" i="3"/>
  <c r="AV172" i="3"/>
  <c r="AT172" i="3"/>
  <c r="AP172" i="3"/>
  <c r="AO172" i="3"/>
  <c r="AN172" i="3"/>
  <c r="AM172" i="3"/>
  <c r="AI172" i="3"/>
  <c r="AF172" i="3"/>
  <c r="AL172" i="3" s="1"/>
  <c r="AX172" i="3" s="1"/>
  <c r="W172" i="3"/>
  <c r="U172" i="3"/>
  <c r="T172" i="3"/>
  <c r="S172" i="3"/>
  <c r="P172" i="3"/>
  <c r="O172" i="3"/>
  <c r="N172" i="3"/>
  <c r="M172" i="3"/>
  <c r="G172" i="3"/>
  <c r="D172" i="3"/>
  <c r="C172" i="3"/>
  <c r="BB171" i="3"/>
  <c r="AW171" i="3"/>
  <c r="AV171" i="3"/>
  <c r="AT171" i="3"/>
  <c r="AR171" i="3"/>
  <c r="AP171" i="3"/>
  <c r="AO171" i="3"/>
  <c r="AN171" i="3"/>
  <c r="AM171" i="3"/>
  <c r="AI171" i="3"/>
  <c r="AF171" i="3"/>
  <c r="AL171" i="3" s="1"/>
  <c r="AX171" i="3" s="1"/>
  <c r="W171" i="3"/>
  <c r="U171" i="3"/>
  <c r="T171" i="3"/>
  <c r="S171" i="3"/>
  <c r="P171" i="3"/>
  <c r="O171" i="3"/>
  <c r="N171" i="3"/>
  <c r="M171" i="3"/>
  <c r="G171" i="3"/>
  <c r="D171" i="3"/>
  <c r="C171" i="3"/>
  <c r="BB170" i="3"/>
  <c r="AW170" i="3"/>
  <c r="AV170" i="3"/>
  <c r="AT170" i="3"/>
  <c r="AS170" i="3"/>
  <c r="AR170" i="3"/>
  <c r="AQ170" i="3"/>
  <c r="AP170" i="3"/>
  <c r="AO170" i="3"/>
  <c r="AN170" i="3"/>
  <c r="AM170" i="3"/>
  <c r="AL170" i="3"/>
  <c r="AX170" i="3" s="1"/>
  <c r="AI170" i="3"/>
  <c r="AF170" i="3"/>
  <c r="W170" i="3"/>
  <c r="U170" i="3"/>
  <c r="T170" i="3"/>
  <c r="S170" i="3"/>
  <c r="P170" i="3"/>
  <c r="O170" i="3"/>
  <c r="N170" i="3"/>
  <c r="M170" i="3"/>
  <c r="G170" i="3"/>
  <c r="D170" i="3"/>
  <c r="C170" i="3"/>
  <c r="BB169" i="3"/>
  <c r="AZ169" i="3"/>
  <c r="AY169" i="3"/>
  <c r="BA169" i="3" s="1"/>
  <c r="AX169" i="3"/>
  <c r="AW169" i="3"/>
  <c r="AV169" i="3"/>
  <c r="AT169" i="3"/>
  <c r="AS169" i="3"/>
  <c r="AQ169" i="3"/>
  <c r="AP169" i="3"/>
  <c r="AO169" i="3"/>
  <c r="AN169" i="3"/>
  <c r="AM169" i="3"/>
  <c r="AI169" i="3"/>
  <c r="AL169" i="3" s="1"/>
  <c r="AF169" i="3"/>
  <c r="W169" i="3"/>
  <c r="U169" i="3"/>
  <c r="T169" i="3"/>
  <c r="S169" i="3"/>
  <c r="AR169" i="3" s="1"/>
  <c r="P169" i="3"/>
  <c r="O169" i="3"/>
  <c r="N169" i="3"/>
  <c r="M169" i="3"/>
  <c r="G169" i="3"/>
  <c r="D169" i="3"/>
  <c r="C169" i="3"/>
  <c r="BB168" i="3"/>
  <c r="AY168" i="3"/>
  <c r="BA168" i="3" s="1"/>
  <c r="AW168" i="3"/>
  <c r="AV168" i="3"/>
  <c r="AT168" i="3"/>
  <c r="AP168" i="3"/>
  <c r="AO168" i="3"/>
  <c r="AN168" i="3"/>
  <c r="AM168" i="3"/>
  <c r="AI168" i="3"/>
  <c r="AF168" i="3"/>
  <c r="AL168" i="3" s="1"/>
  <c r="AX168" i="3" s="1"/>
  <c r="AZ168" i="3" s="1"/>
  <c r="W168" i="3"/>
  <c r="U168" i="3"/>
  <c r="T168" i="3"/>
  <c r="S168" i="3"/>
  <c r="AS168" i="3" s="1"/>
  <c r="P168" i="3"/>
  <c r="O168" i="3"/>
  <c r="N168" i="3"/>
  <c r="M168" i="3"/>
  <c r="G168" i="3"/>
  <c r="D168" i="3"/>
  <c r="C168" i="3"/>
  <c r="BB167" i="3"/>
  <c r="BA167" i="3"/>
  <c r="AZ167" i="3"/>
  <c r="AW167" i="3"/>
  <c r="AV167" i="3"/>
  <c r="AT167" i="3"/>
  <c r="AP167" i="3"/>
  <c r="AO167" i="3"/>
  <c r="AN167" i="3"/>
  <c r="AM167" i="3"/>
  <c r="AI167" i="3"/>
  <c r="AL167" i="3" s="1"/>
  <c r="AX167" i="3" s="1"/>
  <c r="AY167" i="3" s="1"/>
  <c r="AF167" i="3"/>
  <c r="W167" i="3"/>
  <c r="U167" i="3"/>
  <c r="T167" i="3"/>
  <c r="S167" i="3"/>
  <c r="P167" i="3"/>
  <c r="O167" i="3"/>
  <c r="N167" i="3"/>
  <c r="M167" i="3"/>
  <c r="G167" i="3"/>
  <c r="D167" i="3"/>
  <c r="C167" i="3"/>
  <c r="BB166" i="3"/>
  <c r="AW166" i="3"/>
  <c r="AV166" i="3"/>
  <c r="AT166" i="3"/>
  <c r="AP166" i="3"/>
  <c r="AO166" i="3"/>
  <c r="AN166" i="3"/>
  <c r="AM166" i="3"/>
  <c r="AI166" i="3"/>
  <c r="AF166" i="3"/>
  <c r="AL166" i="3" s="1"/>
  <c r="AX166" i="3" s="1"/>
  <c r="W166" i="3"/>
  <c r="U166" i="3"/>
  <c r="T166" i="3"/>
  <c r="S166" i="3"/>
  <c r="P166" i="3"/>
  <c r="O166" i="3"/>
  <c r="N166" i="3"/>
  <c r="M166" i="3"/>
  <c r="G166" i="3"/>
  <c r="D166" i="3"/>
  <c r="C166" i="3"/>
  <c r="BB165" i="3"/>
  <c r="AW165" i="3"/>
  <c r="AV165" i="3"/>
  <c r="AT165" i="3"/>
  <c r="AR165" i="3"/>
  <c r="AQ165" i="3"/>
  <c r="AP165" i="3"/>
  <c r="AO165" i="3"/>
  <c r="AN165" i="3"/>
  <c r="AM165" i="3"/>
  <c r="AI165" i="3"/>
  <c r="AF165" i="3"/>
  <c r="AL165" i="3" s="1"/>
  <c r="AX165" i="3" s="1"/>
  <c r="W165" i="3"/>
  <c r="U165" i="3"/>
  <c r="T165" i="3"/>
  <c r="S165" i="3"/>
  <c r="AS165" i="3" s="1"/>
  <c r="P165" i="3"/>
  <c r="O165" i="3"/>
  <c r="N165" i="3"/>
  <c r="M165" i="3"/>
  <c r="G165" i="3"/>
  <c r="D165" i="3"/>
  <c r="C165" i="3"/>
  <c r="BB164" i="3"/>
  <c r="AW164" i="3"/>
  <c r="AV164" i="3"/>
  <c r="AT164" i="3"/>
  <c r="AR164" i="3"/>
  <c r="AQ164" i="3"/>
  <c r="AP164" i="3"/>
  <c r="AO164" i="3"/>
  <c r="AN164" i="3"/>
  <c r="AM164" i="3"/>
  <c r="AL164" i="3"/>
  <c r="AX164" i="3" s="1"/>
  <c r="AI164" i="3"/>
  <c r="AF164" i="3"/>
  <c r="W164" i="3"/>
  <c r="U164" i="3"/>
  <c r="T164" i="3"/>
  <c r="S164" i="3"/>
  <c r="AS164" i="3" s="1"/>
  <c r="P164" i="3"/>
  <c r="O164" i="3"/>
  <c r="N164" i="3"/>
  <c r="M164" i="3"/>
  <c r="G164" i="3"/>
  <c r="D164" i="3"/>
  <c r="C164" i="3"/>
  <c r="BB163" i="3"/>
  <c r="AZ163" i="3"/>
  <c r="AY163" i="3"/>
  <c r="BA163" i="3" s="1"/>
  <c r="AX163" i="3"/>
  <c r="AW163" i="3"/>
  <c r="AV163" i="3"/>
  <c r="AT163" i="3"/>
  <c r="AS163" i="3"/>
  <c r="AR163" i="3"/>
  <c r="AQ163" i="3"/>
  <c r="AP163" i="3"/>
  <c r="AO163" i="3"/>
  <c r="AN163" i="3"/>
  <c r="AM163" i="3"/>
  <c r="AI163" i="3"/>
  <c r="AF163" i="3"/>
  <c r="AL163" i="3" s="1"/>
  <c r="W163" i="3"/>
  <c r="U163" i="3"/>
  <c r="T163" i="3"/>
  <c r="S163" i="3"/>
  <c r="P163" i="3"/>
  <c r="O163" i="3"/>
  <c r="N163" i="3"/>
  <c r="M163" i="3"/>
  <c r="G163" i="3"/>
  <c r="D163" i="3"/>
  <c r="C163" i="3"/>
  <c r="BB162" i="3"/>
  <c r="AZ162" i="3"/>
  <c r="AW162" i="3"/>
  <c r="AV162" i="3"/>
  <c r="AT162" i="3"/>
  <c r="AS162" i="3"/>
  <c r="AP162" i="3"/>
  <c r="AO162" i="3"/>
  <c r="AN162" i="3"/>
  <c r="AM162" i="3"/>
  <c r="AI162" i="3"/>
  <c r="AF162" i="3"/>
  <c r="AL162" i="3" s="1"/>
  <c r="AX162" i="3" s="1"/>
  <c r="AY162" i="3" s="1"/>
  <c r="BA162" i="3" s="1"/>
  <c r="W162" i="3"/>
  <c r="U162" i="3"/>
  <c r="T162" i="3"/>
  <c r="S162" i="3"/>
  <c r="AR162" i="3" s="1"/>
  <c r="P162" i="3"/>
  <c r="O162" i="3"/>
  <c r="N162" i="3"/>
  <c r="M162" i="3"/>
  <c r="G162" i="3"/>
  <c r="D162" i="3"/>
  <c r="C162" i="3"/>
  <c r="BB161" i="3"/>
  <c r="AW161" i="3"/>
  <c r="AV161" i="3"/>
  <c r="AT161" i="3"/>
  <c r="AS161" i="3"/>
  <c r="AQ161" i="3"/>
  <c r="AP161" i="3"/>
  <c r="AO161" i="3"/>
  <c r="AN161" i="3"/>
  <c r="AM161" i="3"/>
  <c r="AI161" i="3"/>
  <c r="AF161" i="3"/>
  <c r="AL161" i="3" s="1"/>
  <c r="AX161" i="3" s="1"/>
  <c r="W161" i="3"/>
  <c r="U161" i="3"/>
  <c r="T161" i="3"/>
  <c r="S161" i="3"/>
  <c r="AR161" i="3" s="1"/>
  <c r="P161" i="3"/>
  <c r="O161" i="3"/>
  <c r="N161" i="3"/>
  <c r="M161" i="3"/>
  <c r="G161" i="3"/>
  <c r="D161" i="3"/>
  <c r="C161" i="3"/>
  <c r="BB160" i="3"/>
  <c r="AW160" i="3"/>
  <c r="AV160" i="3"/>
  <c r="AT160" i="3"/>
  <c r="AS160" i="3"/>
  <c r="AR160" i="3"/>
  <c r="AQ160" i="3"/>
  <c r="AP160" i="3"/>
  <c r="AO160" i="3"/>
  <c r="AN160" i="3"/>
  <c r="AM160" i="3"/>
  <c r="AI160" i="3"/>
  <c r="AL160" i="3" s="1"/>
  <c r="AX160" i="3" s="1"/>
  <c r="AF160" i="3"/>
  <c r="W160" i="3"/>
  <c r="U160" i="3"/>
  <c r="T160" i="3"/>
  <c r="S160" i="3"/>
  <c r="P160" i="3"/>
  <c r="O160" i="3"/>
  <c r="N160" i="3"/>
  <c r="M160" i="3"/>
  <c r="G160" i="3"/>
  <c r="D160" i="3"/>
  <c r="C160" i="3"/>
  <c r="BB159" i="3"/>
  <c r="AW159" i="3"/>
  <c r="AV159" i="3"/>
  <c r="AT159" i="3"/>
  <c r="AP159" i="3"/>
  <c r="AO159" i="3"/>
  <c r="AN159" i="3"/>
  <c r="AM159" i="3"/>
  <c r="AI159" i="3"/>
  <c r="AL159" i="3" s="1"/>
  <c r="AX159" i="3" s="1"/>
  <c r="AF159" i="3"/>
  <c r="W159" i="3"/>
  <c r="U159" i="3"/>
  <c r="T159" i="3"/>
  <c r="S159" i="3"/>
  <c r="P159" i="3"/>
  <c r="O159" i="3"/>
  <c r="N159" i="3"/>
  <c r="M159" i="3"/>
  <c r="G159" i="3"/>
  <c r="D159" i="3"/>
  <c r="C159" i="3"/>
  <c r="BB158" i="3"/>
  <c r="AW158" i="3"/>
  <c r="AV158" i="3"/>
  <c r="AT158" i="3"/>
  <c r="AP158" i="3"/>
  <c r="AO158" i="3"/>
  <c r="AN158" i="3"/>
  <c r="AM158" i="3"/>
  <c r="AL158" i="3"/>
  <c r="AX158" i="3" s="1"/>
  <c r="AI158" i="3"/>
  <c r="AF158" i="3"/>
  <c r="W158" i="3"/>
  <c r="U158" i="3"/>
  <c r="T158" i="3"/>
  <c r="S158" i="3"/>
  <c r="P158" i="3"/>
  <c r="O158" i="3"/>
  <c r="N158" i="3"/>
  <c r="M158" i="3"/>
  <c r="G158" i="3"/>
  <c r="D158" i="3"/>
  <c r="C158" i="3"/>
  <c r="BB157" i="3"/>
  <c r="AX157" i="3"/>
  <c r="AW157" i="3"/>
  <c r="AV157" i="3"/>
  <c r="AT157" i="3"/>
  <c r="AP157" i="3"/>
  <c r="AO157" i="3"/>
  <c r="AN157" i="3"/>
  <c r="AM157" i="3"/>
  <c r="AI157" i="3"/>
  <c r="AF157" i="3"/>
  <c r="AL157" i="3" s="1"/>
  <c r="W157" i="3"/>
  <c r="U157" i="3"/>
  <c r="T157" i="3"/>
  <c r="S157" i="3"/>
  <c r="P157" i="3"/>
  <c r="O157" i="3"/>
  <c r="N157" i="3"/>
  <c r="M157" i="3"/>
  <c r="G157" i="3"/>
  <c r="D157" i="3"/>
  <c r="C157" i="3"/>
  <c r="BB156" i="3"/>
  <c r="AW156" i="3"/>
  <c r="AV156" i="3"/>
  <c r="AT156" i="3"/>
  <c r="AQ156" i="3"/>
  <c r="AP156" i="3"/>
  <c r="AO156" i="3"/>
  <c r="AN156" i="3"/>
  <c r="AM156" i="3"/>
  <c r="AL156" i="3"/>
  <c r="AX156" i="3" s="1"/>
  <c r="AI156" i="3"/>
  <c r="AF156" i="3"/>
  <c r="W156" i="3"/>
  <c r="U156" i="3"/>
  <c r="T156" i="3"/>
  <c r="S156" i="3"/>
  <c r="P156" i="3"/>
  <c r="O156" i="3"/>
  <c r="N156" i="3"/>
  <c r="M156" i="3"/>
  <c r="G156" i="3"/>
  <c r="D156" i="3"/>
  <c r="C156" i="3"/>
  <c r="BB155" i="3"/>
  <c r="AW155" i="3"/>
  <c r="AV155" i="3"/>
  <c r="AT155" i="3"/>
  <c r="AS155" i="3"/>
  <c r="AQ155" i="3"/>
  <c r="AP155" i="3"/>
  <c r="AO155" i="3"/>
  <c r="AN155" i="3"/>
  <c r="AM155" i="3"/>
  <c r="AL155" i="3"/>
  <c r="AX155" i="3" s="1"/>
  <c r="AI155" i="3"/>
  <c r="AF155" i="3"/>
  <c r="W155" i="3"/>
  <c r="U155" i="3"/>
  <c r="T155" i="3"/>
  <c r="S155" i="3"/>
  <c r="AR155" i="3" s="1"/>
  <c r="P155" i="3"/>
  <c r="O155" i="3"/>
  <c r="N155" i="3"/>
  <c r="M155" i="3"/>
  <c r="G155" i="3"/>
  <c r="D155" i="3"/>
  <c r="C155" i="3"/>
  <c r="BB154" i="3"/>
  <c r="AY154" i="3"/>
  <c r="BA154" i="3" s="1"/>
  <c r="AW154" i="3"/>
  <c r="AV154" i="3"/>
  <c r="AT154" i="3"/>
  <c r="AS154" i="3"/>
  <c r="AR154" i="3"/>
  <c r="AQ154" i="3"/>
  <c r="AP154" i="3"/>
  <c r="AO154" i="3"/>
  <c r="AN154" i="3"/>
  <c r="AM154" i="3"/>
  <c r="AL154" i="3"/>
  <c r="AX154" i="3" s="1"/>
  <c r="AZ154" i="3" s="1"/>
  <c r="AI154" i="3"/>
  <c r="AF154" i="3"/>
  <c r="W154" i="3"/>
  <c r="U154" i="3"/>
  <c r="T154" i="3"/>
  <c r="S154" i="3"/>
  <c r="P154" i="3"/>
  <c r="O154" i="3"/>
  <c r="N154" i="3"/>
  <c r="M154" i="3"/>
  <c r="G154" i="3"/>
  <c r="D154" i="3"/>
  <c r="C154" i="3"/>
  <c r="BB153" i="3"/>
  <c r="AW153" i="3"/>
  <c r="AV153" i="3"/>
  <c r="AT153" i="3"/>
  <c r="AP153" i="3"/>
  <c r="AO153" i="3"/>
  <c r="AN153" i="3"/>
  <c r="AM153" i="3"/>
  <c r="AI153" i="3"/>
  <c r="AL153" i="3" s="1"/>
  <c r="AX153" i="3" s="1"/>
  <c r="AF153" i="3"/>
  <c r="W153" i="3"/>
  <c r="U153" i="3"/>
  <c r="T153" i="3"/>
  <c r="S153" i="3"/>
  <c r="P153" i="3"/>
  <c r="O153" i="3"/>
  <c r="N153" i="3"/>
  <c r="M153" i="3"/>
  <c r="G153" i="3"/>
  <c r="D153" i="3"/>
  <c r="C153" i="3"/>
  <c r="BB152" i="3"/>
  <c r="AW152" i="3"/>
  <c r="AV152" i="3"/>
  <c r="AT152" i="3"/>
  <c r="AS152" i="3"/>
  <c r="AR152" i="3"/>
  <c r="AP152" i="3"/>
  <c r="AO152" i="3"/>
  <c r="AN152" i="3"/>
  <c r="AM152" i="3"/>
  <c r="AL152" i="3"/>
  <c r="AX152" i="3" s="1"/>
  <c r="AI152" i="3"/>
  <c r="AF152" i="3"/>
  <c r="W152" i="3"/>
  <c r="U152" i="3"/>
  <c r="T152" i="3"/>
  <c r="S152" i="3"/>
  <c r="AQ152" i="3" s="1"/>
  <c r="P152" i="3"/>
  <c r="O152" i="3"/>
  <c r="N152" i="3"/>
  <c r="M152" i="3"/>
  <c r="G152" i="3"/>
  <c r="D152" i="3"/>
  <c r="C152" i="3"/>
  <c r="BB151" i="3"/>
  <c r="BA151" i="3"/>
  <c r="AZ151" i="3"/>
  <c r="AX151" i="3"/>
  <c r="AY151" i="3" s="1"/>
  <c r="AW151" i="3"/>
  <c r="AV151" i="3"/>
  <c r="AT151" i="3"/>
  <c r="AS151" i="3"/>
  <c r="AR151" i="3"/>
  <c r="AP151" i="3"/>
  <c r="AO151" i="3"/>
  <c r="AN151" i="3"/>
  <c r="AM151" i="3"/>
  <c r="AI151" i="3"/>
  <c r="AF151" i="3"/>
  <c r="AL151" i="3" s="1"/>
  <c r="W151" i="3"/>
  <c r="U151" i="3"/>
  <c r="T151" i="3"/>
  <c r="S151" i="3"/>
  <c r="AQ151" i="3" s="1"/>
  <c r="P151" i="3"/>
  <c r="O151" i="3"/>
  <c r="N151" i="3"/>
  <c r="M151" i="3"/>
  <c r="G151" i="3"/>
  <c r="D151" i="3"/>
  <c r="C151" i="3"/>
  <c r="BB150" i="3"/>
  <c r="AW150" i="3"/>
  <c r="AV150" i="3"/>
  <c r="AT150" i="3"/>
  <c r="AR150" i="3"/>
  <c r="AP150" i="3"/>
  <c r="AO150" i="3"/>
  <c r="AN150" i="3"/>
  <c r="AM150" i="3"/>
  <c r="AI150" i="3"/>
  <c r="AF150" i="3"/>
  <c r="AL150" i="3" s="1"/>
  <c r="AX150" i="3" s="1"/>
  <c r="AZ150" i="3" s="1"/>
  <c r="W150" i="3"/>
  <c r="U150" i="3"/>
  <c r="T150" i="3"/>
  <c r="S150" i="3"/>
  <c r="P150" i="3"/>
  <c r="O150" i="3"/>
  <c r="N150" i="3"/>
  <c r="M150" i="3"/>
  <c r="G150" i="3"/>
  <c r="D150" i="3"/>
  <c r="C150" i="3"/>
  <c r="BB149" i="3"/>
  <c r="AW149" i="3"/>
  <c r="AV149" i="3"/>
  <c r="AT149" i="3"/>
  <c r="AP149" i="3"/>
  <c r="AO149" i="3"/>
  <c r="AN149" i="3"/>
  <c r="AM149" i="3"/>
  <c r="AI149" i="3"/>
  <c r="AF149" i="3"/>
  <c r="AL149" i="3" s="1"/>
  <c r="AX149" i="3" s="1"/>
  <c r="W149" i="3"/>
  <c r="U149" i="3"/>
  <c r="T149" i="3"/>
  <c r="S149" i="3"/>
  <c r="P149" i="3"/>
  <c r="O149" i="3"/>
  <c r="N149" i="3"/>
  <c r="M149" i="3"/>
  <c r="G149" i="3"/>
  <c r="D149" i="3"/>
  <c r="C149" i="3"/>
  <c r="BB148" i="3"/>
  <c r="AW148" i="3"/>
  <c r="AV148" i="3"/>
  <c r="AT148" i="3"/>
  <c r="AS148" i="3"/>
  <c r="AR148" i="3"/>
  <c r="AQ148" i="3"/>
  <c r="AP148" i="3"/>
  <c r="AO148" i="3"/>
  <c r="AN148" i="3"/>
  <c r="AM148" i="3"/>
  <c r="AL148" i="3"/>
  <c r="AX148" i="3" s="1"/>
  <c r="AI148" i="3"/>
  <c r="AF148" i="3"/>
  <c r="W148" i="3"/>
  <c r="U148" i="3"/>
  <c r="T148" i="3"/>
  <c r="S148" i="3"/>
  <c r="P148" i="3"/>
  <c r="O148" i="3"/>
  <c r="N148" i="3"/>
  <c r="M148" i="3"/>
  <c r="G148" i="3"/>
  <c r="D148" i="3"/>
  <c r="C148" i="3"/>
  <c r="BB147" i="3"/>
  <c r="AZ147" i="3"/>
  <c r="AX147" i="3"/>
  <c r="AY147" i="3" s="1"/>
  <c r="BA147" i="3" s="1"/>
  <c r="AW147" i="3"/>
  <c r="AV147" i="3"/>
  <c r="AT147" i="3"/>
  <c r="AS147" i="3"/>
  <c r="AQ147" i="3"/>
  <c r="AP147" i="3"/>
  <c r="AO147" i="3"/>
  <c r="AN147" i="3"/>
  <c r="AM147" i="3"/>
  <c r="AL147" i="3"/>
  <c r="AI147" i="3"/>
  <c r="AF147" i="3"/>
  <c r="W147" i="3"/>
  <c r="U147" i="3"/>
  <c r="T147" i="3"/>
  <c r="S147" i="3"/>
  <c r="AR147" i="3" s="1"/>
  <c r="P147" i="3"/>
  <c r="O147" i="3"/>
  <c r="N147" i="3"/>
  <c r="M147" i="3"/>
  <c r="G147" i="3"/>
  <c r="D147" i="3"/>
  <c r="C147" i="3"/>
  <c r="BB146" i="3"/>
  <c r="AY146" i="3"/>
  <c r="BA146" i="3" s="1"/>
  <c r="AW146" i="3"/>
  <c r="AV146" i="3"/>
  <c r="AT146" i="3"/>
  <c r="AS146" i="3"/>
  <c r="AP146" i="3"/>
  <c r="AO146" i="3"/>
  <c r="AN146" i="3"/>
  <c r="AM146" i="3"/>
  <c r="AL146" i="3"/>
  <c r="AX146" i="3" s="1"/>
  <c r="AZ146" i="3" s="1"/>
  <c r="AI146" i="3"/>
  <c r="AF146" i="3"/>
  <c r="W146" i="3"/>
  <c r="U146" i="3"/>
  <c r="T146" i="3"/>
  <c r="S146" i="3"/>
  <c r="AR146" i="3" s="1"/>
  <c r="P146" i="3"/>
  <c r="O146" i="3"/>
  <c r="N146" i="3"/>
  <c r="M146" i="3"/>
  <c r="G146" i="3"/>
  <c r="D146" i="3"/>
  <c r="C146" i="3"/>
  <c r="BB145" i="3"/>
  <c r="AW145" i="3"/>
  <c r="AV145" i="3"/>
  <c r="AT145" i="3"/>
  <c r="AP145" i="3"/>
  <c r="AO145" i="3"/>
  <c r="AN145" i="3"/>
  <c r="AM145" i="3"/>
  <c r="AI145" i="3"/>
  <c r="AL145" i="3" s="1"/>
  <c r="AX145" i="3" s="1"/>
  <c r="AF145" i="3"/>
  <c r="W145" i="3"/>
  <c r="U145" i="3"/>
  <c r="T145" i="3"/>
  <c r="S145" i="3"/>
  <c r="P145" i="3"/>
  <c r="O145" i="3"/>
  <c r="N145" i="3"/>
  <c r="M145" i="3"/>
  <c r="G145" i="3"/>
  <c r="D145" i="3"/>
  <c r="C145" i="3"/>
  <c r="BB144" i="3"/>
  <c r="AW144" i="3"/>
  <c r="AV144" i="3"/>
  <c r="AT144" i="3"/>
  <c r="AS144" i="3"/>
  <c r="AP144" i="3"/>
  <c r="AO144" i="3"/>
  <c r="AN144" i="3"/>
  <c r="AM144" i="3"/>
  <c r="AI144" i="3"/>
  <c r="AF144" i="3"/>
  <c r="W144" i="3"/>
  <c r="U144" i="3"/>
  <c r="T144" i="3"/>
  <c r="S144" i="3"/>
  <c r="AQ144" i="3" s="1"/>
  <c r="P144" i="3"/>
  <c r="O144" i="3"/>
  <c r="N144" i="3"/>
  <c r="M144" i="3"/>
  <c r="G144" i="3"/>
  <c r="D144" i="3"/>
  <c r="C144" i="3"/>
  <c r="BB143" i="3"/>
  <c r="AW143" i="3"/>
  <c r="AV143" i="3"/>
  <c r="AT143" i="3"/>
  <c r="AR143" i="3"/>
  <c r="AQ143" i="3"/>
  <c r="AP143" i="3"/>
  <c r="AO143" i="3"/>
  <c r="AN143" i="3"/>
  <c r="AM143" i="3"/>
  <c r="AI143" i="3"/>
  <c r="AF143" i="3"/>
  <c r="AL143" i="3" s="1"/>
  <c r="AX143" i="3" s="1"/>
  <c r="W143" i="3"/>
  <c r="U143" i="3"/>
  <c r="T143" i="3"/>
  <c r="S143" i="3"/>
  <c r="AS143" i="3" s="1"/>
  <c r="P143" i="3"/>
  <c r="O143" i="3"/>
  <c r="N143" i="3"/>
  <c r="M143" i="3"/>
  <c r="G143" i="3"/>
  <c r="D143" i="3"/>
  <c r="C143" i="3"/>
  <c r="BB142" i="3"/>
  <c r="AW142" i="3"/>
  <c r="AV142" i="3"/>
  <c r="AT142" i="3"/>
  <c r="AR142" i="3"/>
  <c r="AQ142" i="3"/>
  <c r="AP142" i="3"/>
  <c r="AO142" i="3"/>
  <c r="AN142" i="3"/>
  <c r="AM142" i="3"/>
  <c r="AL142" i="3"/>
  <c r="AX142" i="3" s="1"/>
  <c r="AI142" i="3"/>
  <c r="AF142" i="3"/>
  <c r="W142" i="3"/>
  <c r="U142" i="3"/>
  <c r="T142" i="3"/>
  <c r="S142" i="3"/>
  <c r="AS142" i="3" s="1"/>
  <c r="P142" i="3"/>
  <c r="O142" i="3"/>
  <c r="N142" i="3"/>
  <c r="M142" i="3"/>
  <c r="G142" i="3"/>
  <c r="D142" i="3"/>
  <c r="C142" i="3"/>
  <c r="BB141" i="3"/>
  <c r="AY141" i="3"/>
  <c r="BA141" i="3" s="1"/>
  <c r="AX141" i="3"/>
  <c r="AZ141" i="3" s="1"/>
  <c r="AW141" i="3"/>
  <c r="AV141" i="3"/>
  <c r="AT141" i="3"/>
  <c r="AS141" i="3"/>
  <c r="AR141" i="3"/>
  <c r="AQ141" i="3"/>
  <c r="AP141" i="3"/>
  <c r="AO141" i="3"/>
  <c r="AN141" i="3"/>
  <c r="AM141" i="3"/>
  <c r="AI141" i="3"/>
  <c r="AF141" i="3"/>
  <c r="AL141" i="3" s="1"/>
  <c r="W141" i="3"/>
  <c r="U141" i="3"/>
  <c r="T141" i="3"/>
  <c r="S141" i="3"/>
  <c r="P141" i="3"/>
  <c r="O141" i="3"/>
  <c r="N141" i="3"/>
  <c r="M141" i="3"/>
  <c r="G141" i="3"/>
  <c r="D141" i="3"/>
  <c r="C141" i="3"/>
  <c r="BB140" i="3"/>
  <c r="AW140" i="3"/>
  <c r="AV140" i="3"/>
  <c r="AT140" i="3"/>
  <c r="AP140" i="3"/>
  <c r="AO140" i="3"/>
  <c r="AN140" i="3"/>
  <c r="AM140" i="3"/>
  <c r="AI140" i="3"/>
  <c r="AF140" i="3"/>
  <c r="AL140" i="3" s="1"/>
  <c r="AX140" i="3" s="1"/>
  <c r="AZ140" i="3" s="1"/>
  <c r="W140" i="3"/>
  <c r="U140" i="3"/>
  <c r="T140" i="3"/>
  <c r="S140" i="3"/>
  <c r="P140" i="3"/>
  <c r="O140" i="3"/>
  <c r="N140" i="3"/>
  <c r="M140" i="3"/>
  <c r="G140" i="3"/>
  <c r="D140" i="3"/>
  <c r="C140" i="3"/>
  <c r="BB139" i="3"/>
  <c r="AW139" i="3"/>
  <c r="AV139" i="3"/>
  <c r="AT139" i="3"/>
  <c r="AS139" i="3"/>
  <c r="AQ139" i="3"/>
  <c r="AP139" i="3"/>
  <c r="AO139" i="3"/>
  <c r="AN139" i="3"/>
  <c r="AM139" i="3"/>
  <c r="AI139" i="3"/>
  <c r="AF139" i="3"/>
  <c r="AL139" i="3" s="1"/>
  <c r="AX139" i="3" s="1"/>
  <c r="W139" i="3"/>
  <c r="U139" i="3"/>
  <c r="T139" i="3"/>
  <c r="S139" i="3"/>
  <c r="AR139" i="3" s="1"/>
  <c r="P139" i="3"/>
  <c r="O139" i="3"/>
  <c r="N139" i="3"/>
  <c r="M139" i="3"/>
  <c r="G139" i="3"/>
  <c r="D139" i="3"/>
  <c r="C139" i="3"/>
  <c r="BB138" i="3"/>
  <c r="AW138" i="3"/>
  <c r="AV138" i="3"/>
  <c r="AT138" i="3"/>
  <c r="AR138" i="3"/>
  <c r="AQ138" i="3"/>
  <c r="AP138" i="3"/>
  <c r="AO138" i="3"/>
  <c r="AN138" i="3"/>
  <c r="AM138" i="3"/>
  <c r="AI138" i="3"/>
  <c r="AL138" i="3" s="1"/>
  <c r="AX138" i="3" s="1"/>
  <c r="AF138" i="3"/>
  <c r="W138" i="3"/>
  <c r="U138" i="3"/>
  <c r="T138" i="3"/>
  <c r="S138" i="3"/>
  <c r="AS138" i="3" s="1"/>
  <c r="P138" i="3"/>
  <c r="O138" i="3"/>
  <c r="N138" i="3"/>
  <c r="M138" i="3"/>
  <c r="G138" i="3"/>
  <c r="D138" i="3"/>
  <c r="C138" i="3"/>
  <c r="BB137" i="3"/>
  <c r="AW137" i="3"/>
  <c r="AV137" i="3"/>
  <c r="AT137" i="3"/>
  <c r="AR137" i="3"/>
  <c r="AP137" i="3"/>
  <c r="AO137" i="3"/>
  <c r="AN137" i="3"/>
  <c r="AM137" i="3"/>
  <c r="AI137" i="3"/>
  <c r="AF137" i="3"/>
  <c r="W137" i="3"/>
  <c r="U137" i="3"/>
  <c r="T137" i="3"/>
  <c r="S137" i="3"/>
  <c r="P137" i="3"/>
  <c r="O137" i="3"/>
  <c r="N137" i="3"/>
  <c r="M137" i="3"/>
  <c r="G137" i="3"/>
  <c r="D137" i="3"/>
  <c r="C137" i="3"/>
  <c r="BB136" i="3"/>
  <c r="AW136" i="3"/>
  <c r="AV136" i="3"/>
  <c r="AT136" i="3"/>
  <c r="AR136" i="3"/>
  <c r="AP136" i="3"/>
  <c r="AO136" i="3"/>
  <c r="AN136" i="3"/>
  <c r="AM136" i="3"/>
  <c r="AI136" i="3"/>
  <c r="AF136" i="3"/>
  <c r="AL136" i="3" s="1"/>
  <c r="AX136" i="3" s="1"/>
  <c r="W136" i="3"/>
  <c r="U136" i="3"/>
  <c r="T136" i="3"/>
  <c r="S136" i="3"/>
  <c r="P136" i="3"/>
  <c r="O136" i="3"/>
  <c r="N136" i="3"/>
  <c r="M136" i="3"/>
  <c r="G136" i="3"/>
  <c r="D136" i="3"/>
  <c r="C136" i="3"/>
  <c r="BB135" i="3"/>
  <c r="AX135" i="3"/>
  <c r="AW135" i="3"/>
  <c r="AV135" i="3"/>
  <c r="AT135" i="3"/>
  <c r="AS135" i="3"/>
  <c r="AQ135" i="3"/>
  <c r="AP135" i="3"/>
  <c r="AO135" i="3"/>
  <c r="AN135" i="3"/>
  <c r="AM135" i="3"/>
  <c r="AI135" i="3"/>
  <c r="AF135" i="3"/>
  <c r="AL135" i="3" s="1"/>
  <c r="W135" i="3"/>
  <c r="U135" i="3"/>
  <c r="T135" i="3"/>
  <c r="S135" i="3"/>
  <c r="AR135" i="3" s="1"/>
  <c r="P135" i="3"/>
  <c r="O135" i="3"/>
  <c r="N135" i="3"/>
  <c r="M135" i="3"/>
  <c r="G135" i="3"/>
  <c r="D135" i="3"/>
  <c r="C135" i="3"/>
  <c r="BB134" i="3"/>
  <c r="AX134" i="3"/>
  <c r="AY134" i="3" s="1"/>
  <c r="BA134" i="3" s="1"/>
  <c r="AW134" i="3"/>
  <c r="AV134" i="3"/>
  <c r="AT134" i="3"/>
  <c r="AP134" i="3"/>
  <c r="AO134" i="3"/>
  <c r="AN134" i="3"/>
  <c r="AM134" i="3"/>
  <c r="AI134" i="3"/>
  <c r="AF134" i="3"/>
  <c r="AL134" i="3" s="1"/>
  <c r="W134" i="3"/>
  <c r="U134" i="3"/>
  <c r="T134" i="3"/>
  <c r="S134" i="3"/>
  <c r="P134" i="3"/>
  <c r="O134" i="3"/>
  <c r="N134" i="3"/>
  <c r="M134" i="3"/>
  <c r="G134" i="3"/>
  <c r="D134" i="3"/>
  <c r="C134" i="3"/>
  <c r="BB133" i="3"/>
  <c r="AY133" i="3"/>
  <c r="BA133" i="3" s="1"/>
  <c r="AW133" i="3"/>
  <c r="AV133" i="3"/>
  <c r="AT133" i="3"/>
  <c r="AS133" i="3"/>
  <c r="AQ133" i="3"/>
  <c r="AP133" i="3"/>
  <c r="AO133" i="3"/>
  <c r="AN133" i="3"/>
  <c r="AM133" i="3"/>
  <c r="AI133" i="3"/>
  <c r="AF133" i="3"/>
  <c r="AL133" i="3" s="1"/>
  <c r="AX133" i="3" s="1"/>
  <c r="AZ133" i="3" s="1"/>
  <c r="W133" i="3"/>
  <c r="U133" i="3"/>
  <c r="T133" i="3"/>
  <c r="S133" i="3"/>
  <c r="AR133" i="3" s="1"/>
  <c r="P133" i="3"/>
  <c r="O133" i="3"/>
  <c r="N133" i="3"/>
  <c r="M133" i="3"/>
  <c r="G133" i="3"/>
  <c r="D133" i="3"/>
  <c r="C133" i="3"/>
  <c r="BB132" i="3"/>
  <c r="AY132" i="3"/>
  <c r="BA132" i="3" s="1"/>
  <c r="AW132" i="3"/>
  <c r="AV132" i="3"/>
  <c r="AT132" i="3"/>
  <c r="AP132" i="3"/>
  <c r="AO132" i="3"/>
  <c r="AN132" i="3"/>
  <c r="AM132" i="3"/>
  <c r="AL132" i="3"/>
  <c r="AX132" i="3" s="1"/>
  <c r="AZ132" i="3" s="1"/>
  <c r="AI132" i="3"/>
  <c r="AF132" i="3"/>
  <c r="W132" i="3"/>
  <c r="U132" i="3"/>
  <c r="T132" i="3"/>
  <c r="S132" i="3"/>
  <c r="AS132" i="3" s="1"/>
  <c r="P132" i="3"/>
  <c r="O132" i="3"/>
  <c r="N132" i="3"/>
  <c r="M132" i="3"/>
  <c r="G132" i="3"/>
  <c r="D132" i="3"/>
  <c r="C132" i="3"/>
  <c r="BB131" i="3"/>
  <c r="AW131" i="3"/>
  <c r="AV131" i="3"/>
  <c r="AT131" i="3"/>
  <c r="AP131" i="3"/>
  <c r="AO131" i="3"/>
  <c r="AN131" i="3"/>
  <c r="AM131" i="3"/>
  <c r="AI131" i="3"/>
  <c r="AL131" i="3" s="1"/>
  <c r="AX131" i="3" s="1"/>
  <c r="AF131" i="3"/>
  <c r="W131" i="3"/>
  <c r="U131" i="3"/>
  <c r="T131" i="3"/>
  <c r="S131" i="3"/>
  <c r="P131" i="3"/>
  <c r="O131" i="3"/>
  <c r="N131" i="3"/>
  <c r="M131" i="3"/>
  <c r="G131" i="3"/>
  <c r="D131" i="3"/>
  <c r="C131" i="3"/>
  <c r="BB130" i="3"/>
  <c r="AW130" i="3"/>
  <c r="AV130" i="3"/>
  <c r="AT130" i="3"/>
  <c r="AS130" i="3"/>
  <c r="AP130" i="3"/>
  <c r="AO130" i="3"/>
  <c r="AN130" i="3"/>
  <c r="AM130" i="3"/>
  <c r="AL130" i="3"/>
  <c r="AX130" i="3" s="1"/>
  <c r="AI130" i="3"/>
  <c r="AF130" i="3"/>
  <c r="W130" i="3"/>
  <c r="U130" i="3"/>
  <c r="T130" i="3"/>
  <c r="S130" i="3"/>
  <c r="P130" i="3"/>
  <c r="O130" i="3"/>
  <c r="N130" i="3"/>
  <c r="M130" i="3"/>
  <c r="G130" i="3"/>
  <c r="D130" i="3"/>
  <c r="C130" i="3"/>
  <c r="BB129" i="3"/>
  <c r="AZ129" i="3"/>
  <c r="AW129" i="3"/>
  <c r="AV129" i="3"/>
  <c r="AT129" i="3"/>
  <c r="AP129" i="3"/>
  <c r="AO129" i="3"/>
  <c r="AN129" i="3"/>
  <c r="AM129" i="3"/>
  <c r="AI129" i="3"/>
  <c r="AF129" i="3"/>
  <c r="AL129" i="3" s="1"/>
  <c r="AX129" i="3" s="1"/>
  <c r="AY129" i="3" s="1"/>
  <c r="BA129" i="3" s="1"/>
  <c r="W129" i="3"/>
  <c r="U129" i="3"/>
  <c r="T129" i="3"/>
  <c r="S129" i="3"/>
  <c r="P129" i="3"/>
  <c r="O129" i="3"/>
  <c r="N129" i="3"/>
  <c r="M129" i="3"/>
  <c r="G129" i="3"/>
  <c r="D129" i="3"/>
  <c r="C129" i="3"/>
  <c r="BB128" i="3"/>
  <c r="AW128" i="3"/>
  <c r="AV128" i="3"/>
  <c r="AT128" i="3"/>
  <c r="AP128" i="3"/>
  <c r="AO128" i="3"/>
  <c r="AN128" i="3"/>
  <c r="AM128" i="3"/>
  <c r="AI128" i="3"/>
  <c r="AF128" i="3"/>
  <c r="AL128" i="3" s="1"/>
  <c r="AX128" i="3" s="1"/>
  <c r="W128" i="3"/>
  <c r="U128" i="3"/>
  <c r="T128" i="3"/>
  <c r="S128" i="3"/>
  <c r="P128" i="3"/>
  <c r="O128" i="3"/>
  <c r="N128" i="3"/>
  <c r="M128" i="3"/>
  <c r="G128" i="3"/>
  <c r="D128" i="3"/>
  <c r="C128" i="3"/>
  <c r="BB127" i="3"/>
  <c r="AW127" i="3"/>
  <c r="AV127" i="3"/>
  <c r="AT127" i="3"/>
  <c r="AP127" i="3"/>
  <c r="AO127" i="3"/>
  <c r="AN127" i="3"/>
  <c r="AM127" i="3"/>
  <c r="AI127" i="3"/>
  <c r="AF127" i="3"/>
  <c r="AL127" i="3" s="1"/>
  <c r="AX127" i="3" s="1"/>
  <c r="AY127" i="3" s="1"/>
  <c r="BA127" i="3" s="1"/>
  <c r="W127" i="3"/>
  <c r="U127" i="3"/>
  <c r="T127" i="3"/>
  <c r="S127" i="3"/>
  <c r="P127" i="3"/>
  <c r="O127" i="3"/>
  <c r="N127" i="3"/>
  <c r="M127" i="3"/>
  <c r="G127" i="3"/>
  <c r="D127" i="3"/>
  <c r="C127" i="3"/>
  <c r="BB126" i="3"/>
  <c r="AW126" i="3"/>
  <c r="AV126" i="3"/>
  <c r="AT126" i="3"/>
  <c r="AS126" i="3"/>
  <c r="AR126" i="3"/>
  <c r="AQ126" i="3"/>
  <c r="AP126" i="3"/>
  <c r="AO126" i="3"/>
  <c r="AN126" i="3"/>
  <c r="AM126" i="3"/>
  <c r="AL126" i="3"/>
  <c r="AX126" i="3" s="1"/>
  <c r="AI126" i="3"/>
  <c r="AF126" i="3"/>
  <c r="W126" i="3"/>
  <c r="U126" i="3"/>
  <c r="T126" i="3"/>
  <c r="S126" i="3"/>
  <c r="P126" i="3"/>
  <c r="O126" i="3"/>
  <c r="N126" i="3"/>
  <c r="M126" i="3"/>
  <c r="G126" i="3"/>
  <c r="D126" i="3"/>
  <c r="C126" i="3"/>
  <c r="BB125" i="3"/>
  <c r="AX125" i="3"/>
  <c r="AW125" i="3"/>
  <c r="AV125" i="3"/>
  <c r="AT125" i="3"/>
  <c r="AS125" i="3"/>
  <c r="AQ125" i="3"/>
  <c r="AP125" i="3"/>
  <c r="AO125" i="3"/>
  <c r="AN125" i="3"/>
  <c r="AM125" i="3"/>
  <c r="AL125" i="3"/>
  <c r="AI125" i="3"/>
  <c r="AF125" i="3"/>
  <c r="W125" i="3"/>
  <c r="U125" i="3"/>
  <c r="T125" i="3"/>
  <c r="S125" i="3"/>
  <c r="AR125" i="3" s="1"/>
  <c r="P125" i="3"/>
  <c r="O125" i="3"/>
  <c r="N125" i="3"/>
  <c r="M125" i="3"/>
  <c r="G125" i="3"/>
  <c r="D125" i="3"/>
  <c r="C125" i="3"/>
  <c r="BB124" i="3"/>
  <c r="AW124" i="3"/>
  <c r="AV124" i="3"/>
  <c r="AT124" i="3"/>
  <c r="AS124" i="3"/>
  <c r="AR124" i="3"/>
  <c r="AQ124" i="3"/>
  <c r="AP124" i="3"/>
  <c r="AO124" i="3"/>
  <c r="AN124" i="3"/>
  <c r="AM124" i="3"/>
  <c r="AL124" i="3"/>
  <c r="AX124" i="3" s="1"/>
  <c r="AI124" i="3"/>
  <c r="AF124" i="3"/>
  <c r="W124" i="3"/>
  <c r="U124" i="3"/>
  <c r="T124" i="3"/>
  <c r="S124" i="3"/>
  <c r="P124" i="3"/>
  <c r="O124" i="3"/>
  <c r="N124" i="3"/>
  <c r="M124" i="3"/>
  <c r="G124" i="3"/>
  <c r="D124" i="3"/>
  <c r="C124" i="3"/>
  <c r="BB123" i="3"/>
  <c r="AW123" i="3"/>
  <c r="AV123" i="3"/>
  <c r="AT123" i="3"/>
  <c r="AP123" i="3"/>
  <c r="AO123" i="3"/>
  <c r="AN123" i="3"/>
  <c r="AM123" i="3"/>
  <c r="AL123" i="3"/>
  <c r="AX123" i="3" s="1"/>
  <c r="AI123" i="3"/>
  <c r="AF123" i="3"/>
  <c r="W123" i="3"/>
  <c r="U123" i="3"/>
  <c r="T123" i="3"/>
  <c r="S123" i="3"/>
  <c r="P123" i="3"/>
  <c r="O123" i="3"/>
  <c r="N123" i="3"/>
  <c r="M123" i="3"/>
  <c r="G123" i="3"/>
  <c r="D123" i="3"/>
  <c r="C123" i="3"/>
  <c r="BB122" i="3"/>
  <c r="AW122" i="3"/>
  <c r="AV122" i="3"/>
  <c r="AT122" i="3"/>
  <c r="AS122" i="3"/>
  <c r="AR122" i="3"/>
  <c r="AP122" i="3"/>
  <c r="AO122" i="3"/>
  <c r="AN122" i="3"/>
  <c r="AM122" i="3"/>
  <c r="AI122" i="3"/>
  <c r="AF122" i="3"/>
  <c r="W122" i="3"/>
  <c r="U122" i="3"/>
  <c r="T122" i="3"/>
  <c r="S122" i="3"/>
  <c r="AQ122" i="3" s="1"/>
  <c r="P122" i="3"/>
  <c r="O122" i="3"/>
  <c r="N122" i="3"/>
  <c r="M122" i="3"/>
  <c r="G122" i="3"/>
  <c r="D122" i="3"/>
  <c r="C122" i="3"/>
  <c r="BB121" i="3"/>
  <c r="AW121" i="3"/>
  <c r="AV121" i="3"/>
  <c r="AT121" i="3"/>
  <c r="AR121" i="3"/>
  <c r="AQ121" i="3"/>
  <c r="AP121" i="3"/>
  <c r="AO121" i="3"/>
  <c r="AN121" i="3"/>
  <c r="AM121" i="3"/>
  <c r="AI121" i="3"/>
  <c r="AF121" i="3"/>
  <c r="W121" i="3"/>
  <c r="U121" i="3"/>
  <c r="T121" i="3"/>
  <c r="S121" i="3"/>
  <c r="AS121" i="3" s="1"/>
  <c r="P121" i="3"/>
  <c r="O121" i="3"/>
  <c r="N121" i="3"/>
  <c r="M121" i="3"/>
  <c r="G121" i="3"/>
  <c r="D121" i="3"/>
  <c r="C121" i="3"/>
  <c r="BB120" i="3"/>
  <c r="AW120" i="3"/>
  <c r="AV120" i="3"/>
  <c r="AT120" i="3"/>
  <c r="AR120" i="3"/>
  <c r="AQ120" i="3"/>
  <c r="AP120" i="3"/>
  <c r="AO120" i="3"/>
  <c r="AN120" i="3"/>
  <c r="AM120" i="3"/>
  <c r="AI120" i="3"/>
  <c r="AL120" i="3" s="1"/>
  <c r="AX120" i="3" s="1"/>
  <c r="AF120" i="3"/>
  <c r="W120" i="3"/>
  <c r="U120" i="3"/>
  <c r="T120" i="3"/>
  <c r="S120" i="3"/>
  <c r="AS120" i="3" s="1"/>
  <c r="P120" i="3"/>
  <c r="O120" i="3"/>
  <c r="N120" i="3"/>
  <c r="M120" i="3"/>
  <c r="G120" i="3"/>
  <c r="D120" i="3"/>
  <c r="C120" i="3"/>
  <c r="BB119" i="3"/>
  <c r="AX119" i="3"/>
  <c r="AZ119" i="3" s="1"/>
  <c r="AW119" i="3"/>
  <c r="AV119" i="3"/>
  <c r="AT119" i="3"/>
  <c r="AS119" i="3"/>
  <c r="AR119" i="3"/>
  <c r="AQ119" i="3"/>
  <c r="AP119" i="3"/>
  <c r="AO119" i="3"/>
  <c r="AN119" i="3"/>
  <c r="AM119" i="3"/>
  <c r="AI119" i="3"/>
  <c r="AF119" i="3"/>
  <c r="AL119" i="3" s="1"/>
  <c r="W119" i="3"/>
  <c r="U119" i="3"/>
  <c r="T119" i="3"/>
  <c r="S119" i="3"/>
  <c r="P119" i="3"/>
  <c r="O119" i="3"/>
  <c r="N119" i="3"/>
  <c r="M119" i="3"/>
  <c r="G119" i="3"/>
  <c r="D119" i="3"/>
  <c r="C119" i="3"/>
  <c r="BB118" i="3"/>
  <c r="AZ118" i="3"/>
  <c r="AW118" i="3"/>
  <c r="AV118" i="3"/>
  <c r="AT118" i="3"/>
  <c r="AS118" i="3"/>
  <c r="AP118" i="3"/>
  <c r="AO118" i="3"/>
  <c r="AN118" i="3"/>
  <c r="AM118" i="3"/>
  <c r="AI118" i="3"/>
  <c r="AF118" i="3"/>
  <c r="AL118" i="3" s="1"/>
  <c r="AX118" i="3" s="1"/>
  <c r="AY118" i="3" s="1"/>
  <c r="BA118" i="3" s="1"/>
  <c r="W118" i="3"/>
  <c r="U118" i="3"/>
  <c r="T118" i="3"/>
  <c r="S118" i="3"/>
  <c r="P118" i="3"/>
  <c r="O118" i="3"/>
  <c r="N118" i="3"/>
  <c r="M118" i="3"/>
  <c r="G118" i="3"/>
  <c r="D118" i="3"/>
  <c r="C118" i="3"/>
  <c r="BB117" i="3"/>
  <c r="AW117" i="3"/>
  <c r="AV117" i="3"/>
  <c r="AT117" i="3"/>
  <c r="AP117" i="3"/>
  <c r="AO117" i="3"/>
  <c r="AN117" i="3"/>
  <c r="AM117" i="3"/>
  <c r="AI117" i="3"/>
  <c r="AL117" i="3" s="1"/>
  <c r="AX117" i="3" s="1"/>
  <c r="AF117" i="3"/>
  <c r="W117" i="3"/>
  <c r="U117" i="3"/>
  <c r="T117" i="3"/>
  <c r="S117" i="3"/>
  <c r="P117" i="3"/>
  <c r="O117" i="3"/>
  <c r="N117" i="3"/>
  <c r="M117" i="3"/>
  <c r="G117" i="3"/>
  <c r="D117" i="3"/>
  <c r="C117" i="3"/>
  <c r="BB116" i="3"/>
  <c r="AW116" i="3"/>
  <c r="AV116" i="3"/>
  <c r="AT116" i="3"/>
  <c r="AS116" i="3"/>
  <c r="AR116" i="3"/>
  <c r="AQ116" i="3"/>
  <c r="AP116" i="3"/>
  <c r="AO116" i="3"/>
  <c r="AN116" i="3"/>
  <c r="AM116" i="3"/>
  <c r="AI116" i="3"/>
  <c r="AL116" i="3" s="1"/>
  <c r="AX116" i="3" s="1"/>
  <c r="AF116" i="3"/>
  <c r="W116" i="3"/>
  <c r="U116" i="3"/>
  <c r="T116" i="3"/>
  <c r="S116" i="3"/>
  <c r="P116" i="3"/>
  <c r="O116" i="3"/>
  <c r="N116" i="3"/>
  <c r="M116" i="3"/>
  <c r="G116" i="3"/>
  <c r="D116" i="3"/>
  <c r="C116" i="3"/>
  <c r="BB115" i="3"/>
  <c r="BA115" i="3"/>
  <c r="AZ115" i="3"/>
  <c r="AY115" i="3"/>
  <c r="AX115" i="3"/>
  <c r="AW115" i="3"/>
  <c r="AV115" i="3"/>
  <c r="AT115" i="3"/>
  <c r="AS115" i="3"/>
  <c r="AR115" i="3"/>
  <c r="AP115" i="3"/>
  <c r="AO115" i="3"/>
  <c r="AN115" i="3"/>
  <c r="AM115" i="3"/>
  <c r="AI115" i="3"/>
  <c r="AL115" i="3" s="1"/>
  <c r="AF115" i="3"/>
  <c r="W115" i="3"/>
  <c r="U115" i="3"/>
  <c r="T115" i="3"/>
  <c r="S115" i="3"/>
  <c r="AQ115" i="3" s="1"/>
  <c r="P115" i="3"/>
  <c r="O115" i="3"/>
  <c r="N115" i="3"/>
  <c r="M115" i="3"/>
  <c r="G115" i="3"/>
  <c r="D115" i="3"/>
  <c r="C115" i="3"/>
  <c r="BB114" i="3"/>
  <c r="AX114" i="3"/>
  <c r="AW114" i="3"/>
  <c r="AV114" i="3"/>
  <c r="AT114" i="3"/>
  <c r="AR114" i="3"/>
  <c r="AP114" i="3"/>
  <c r="AO114" i="3"/>
  <c r="AN114" i="3"/>
  <c r="AM114" i="3"/>
  <c r="AI114" i="3"/>
  <c r="AF114" i="3"/>
  <c r="AL114" i="3" s="1"/>
  <c r="W114" i="3"/>
  <c r="U114" i="3"/>
  <c r="T114" i="3"/>
  <c r="S114" i="3"/>
  <c r="P114" i="3"/>
  <c r="O114" i="3"/>
  <c r="N114" i="3"/>
  <c r="M114" i="3"/>
  <c r="G114" i="3"/>
  <c r="D114" i="3"/>
  <c r="C114" i="3"/>
  <c r="BB113" i="3"/>
  <c r="AW113" i="3"/>
  <c r="AV113" i="3"/>
  <c r="AT113" i="3"/>
  <c r="AP113" i="3"/>
  <c r="AO113" i="3"/>
  <c r="AN113" i="3"/>
  <c r="AM113" i="3"/>
  <c r="AI113" i="3"/>
  <c r="AF113" i="3"/>
  <c r="W113" i="3"/>
  <c r="U113" i="3"/>
  <c r="T113" i="3"/>
  <c r="S113" i="3"/>
  <c r="P113" i="3"/>
  <c r="O113" i="3"/>
  <c r="N113" i="3"/>
  <c r="M113" i="3"/>
  <c r="G113" i="3"/>
  <c r="D113" i="3"/>
  <c r="C113" i="3"/>
  <c r="BB112" i="3"/>
  <c r="AX112" i="3"/>
  <c r="AY112" i="3" s="1"/>
  <c r="BA112" i="3" s="1"/>
  <c r="AW112" i="3"/>
  <c r="AV112" i="3"/>
  <c r="AT112" i="3"/>
  <c r="AP112" i="3"/>
  <c r="AO112" i="3"/>
  <c r="AN112" i="3"/>
  <c r="AM112" i="3"/>
  <c r="AL112" i="3"/>
  <c r="AI112" i="3"/>
  <c r="AF112" i="3"/>
  <c r="W112" i="3"/>
  <c r="U112" i="3"/>
  <c r="T112" i="3"/>
  <c r="S112" i="3"/>
  <c r="P112" i="3"/>
  <c r="O112" i="3"/>
  <c r="N112" i="3"/>
  <c r="M112" i="3"/>
  <c r="G112" i="3"/>
  <c r="D112" i="3"/>
  <c r="C112" i="3"/>
  <c r="BB111" i="3"/>
  <c r="AW111" i="3"/>
  <c r="AV111" i="3"/>
  <c r="AT111" i="3"/>
  <c r="AS111" i="3"/>
  <c r="AQ111" i="3"/>
  <c r="AP111" i="3"/>
  <c r="AO111" i="3"/>
  <c r="AN111" i="3"/>
  <c r="AM111" i="3"/>
  <c r="AL111" i="3"/>
  <c r="AX111" i="3" s="1"/>
  <c r="AI111" i="3"/>
  <c r="AF111" i="3"/>
  <c r="W111" i="3"/>
  <c r="U111" i="3"/>
  <c r="T111" i="3"/>
  <c r="S111" i="3"/>
  <c r="AR111" i="3" s="1"/>
  <c r="P111" i="3"/>
  <c r="O111" i="3"/>
  <c r="N111" i="3"/>
  <c r="M111" i="3"/>
  <c r="G111" i="3"/>
  <c r="D111" i="3"/>
  <c r="C111" i="3"/>
  <c r="BB110" i="3"/>
  <c r="AW110" i="3"/>
  <c r="AV110" i="3"/>
  <c r="AT110" i="3"/>
  <c r="AS110" i="3"/>
  <c r="AQ110" i="3"/>
  <c r="AP110" i="3"/>
  <c r="AO110" i="3"/>
  <c r="AN110" i="3"/>
  <c r="AM110" i="3"/>
  <c r="AI110" i="3"/>
  <c r="AF110" i="3"/>
  <c r="W110" i="3"/>
  <c r="U110" i="3"/>
  <c r="T110" i="3"/>
  <c r="S110" i="3"/>
  <c r="AR110" i="3" s="1"/>
  <c r="P110" i="3"/>
  <c r="O110" i="3"/>
  <c r="N110" i="3"/>
  <c r="M110" i="3"/>
  <c r="G110" i="3"/>
  <c r="D110" i="3"/>
  <c r="C110" i="3"/>
  <c r="BB109" i="3"/>
  <c r="AX109" i="3"/>
  <c r="AY109" i="3" s="1"/>
  <c r="BA109" i="3" s="1"/>
  <c r="AW109" i="3"/>
  <c r="AV109" i="3"/>
  <c r="AT109" i="3"/>
  <c r="AP109" i="3"/>
  <c r="AO109" i="3"/>
  <c r="AN109" i="3"/>
  <c r="AM109" i="3"/>
  <c r="AL109" i="3"/>
  <c r="AI109" i="3"/>
  <c r="AF109" i="3"/>
  <c r="W109" i="3"/>
  <c r="U109" i="3"/>
  <c r="T109" i="3"/>
  <c r="S109" i="3"/>
  <c r="P109" i="3"/>
  <c r="O109" i="3"/>
  <c r="N109" i="3"/>
  <c r="M109" i="3"/>
  <c r="G109" i="3"/>
  <c r="D109" i="3"/>
  <c r="C109" i="3"/>
  <c r="BB108" i="3"/>
  <c r="AW108" i="3"/>
  <c r="AV108" i="3"/>
  <c r="AT108" i="3"/>
  <c r="AS108" i="3"/>
  <c r="AR108" i="3"/>
  <c r="AP108" i="3"/>
  <c r="AO108" i="3"/>
  <c r="AN108" i="3"/>
  <c r="AM108" i="3"/>
  <c r="AI108" i="3"/>
  <c r="AF108" i="3"/>
  <c r="AL108" i="3" s="1"/>
  <c r="AX108" i="3" s="1"/>
  <c r="W108" i="3"/>
  <c r="U108" i="3"/>
  <c r="T108" i="3"/>
  <c r="S108" i="3"/>
  <c r="AQ108" i="3" s="1"/>
  <c r="P108" i="3"/>
  <c r="O108" i="3"/>
  <c r="N108" i="3"/>
  <c r="M108" i="3"/>
  <c r="G108" i="3"/>
  <c r="D108" i="3"/>
  <c r="C108" i="3"/>
  <c r="BB107" i="3"/>
  <c r="AX107" i="3"/>
  <c r="AW107" i="3"/>
  <c r="AV107" i="3"/>
  <c r="AT107" i="3"/>
  <c r="AP107" i="3"/>
  <c r="AO107" i="3"/>
  <c r="AN107" i="3"/>
  <c r="AM107" i="3"/>
  <c r="AI107" i="3"/>
  <c r="AF107" i="3"/>
  <c r="AL107" i="3" s="1"/>
  <c r="W107" i="3"/>
  <c r="U107" i="3"/>
  <c r="T107" i="3"/>
  <c r="S107" i="3"/>
  <c r="AS107" i="3" s="1"/>
  <c r="P107" i="3"/>
  <c r="O107" i="3"/>
  <c r="N107" i="3"/>
  <c r="M107" i="3"/>
  <c r="G107" i="3"/>
  <c r="D107" i="3"/>
  <c r="C107" i="3"/>
  <c r="BB106" i="3"/>
  <c r="AW106" i="3"/>
  <c r="AV106" i="3"/>
  <c r="AT106" i="3"/>
  <c r="AR106" i="3"/>
  <c r="AP106" i="3"/>
  <c r="AO106" i="3"/>
  <c r="AN106" i="3"/>
  <c r="AM106" i="3"/>
  <c r="AI106" i="3"/>
  <c r="AF106" i="3"/>
  <c r="AL106" i="3" s="1"/>
  <c r="AX106" i="3" s="1"/>
  <c r="W106" i="3"/>
  <c r="U106" i="3"/>
  <c r="T106" i="3"/>
  <c r="S106" i="3"/>
  <c r="P106" i="3"/>
  <c r="O106" i="3"/>
  <c r="N106" i="3"/>
  <c r="M106" i="3"/>
  <c r="G106" i="3"/>
  <c r="D106" i="3"/>
  <c r="C106" i="3"/>
  <c r="BB105" i="3"/>
  <c r="AZ105" i="3"/>
  <c r="AY105" i="3"/>
  <c r="BA105" i="3" s="1"/>
  <c r="AW105" i="3"/>
  <c r="AV105" i="3"/>
  <c r="AT105" i="3"/>
  <c r="AS105" i="3"/>
  <c r="AR105" i="3"/>
  <c r="AQ105" i="3"/>
  <c r="AP105" i="3"/>
  <c r="AO105" i="3"/>
  <c r="AN105" i="3"/>
  <c r="AM105" i="3"/>
  <c r="AI105" i="3"/>
  <c r="AL105" i="3" s="1"/>
  <c r="AX105" i="3" s="1"/>
  <c r="AF105" i="3"/>
  <c r="W105" i="3"/>
  <c r="U105" i="3"/>
  <c r="T105" i="3"/>
  <c r="S105" i="3"/>
  <c r="P105" i="3"/>
  <c r="O105" i="3"/>
  <c r="N105" i="3"/>
  <c r="M105" i="3"/>
  <c r="G105" i="3"/>
  <c r="D105" i="3"/>
  <c r="C105" i="3"/>
  <c r="BB104" i="3"/>
  <c r="AZ104" i="3"/>
  <c r="AY104" i="3"/>
  <c r="BA104" i="3" s="1"/>
  <c r="AW104" i="3"/>
  <c r="AV104" i="3"/>
  <c r="AT104" i="3"/>
  <c r="AS104" i="3"/>
  <c r="AR104" i="3"/>
  <c r="AQ104" i="3"/>
  <c r="AP104" i="3"/>
  <c r="AO104" i="3"/>
  <c r="AN104" i="3"/>
  <c r="AM104" i="3"/>
  <c r="AI104" i="3"/>
  <c r="AF104" i="3"/>
  <c r="AL104" i="3" s="1"/>
  <c r="AX104" i="3" s="1"/>
  <c r="W104" i="3"/>
  <c r="U104" i="3"/>
  <c r="T104" i="3"/>
  <c r="S104" i="3"/>
  <c r="P104" i="3"/>
  <c r="O104" i="3"/>
  <c r="N104" i="3"/>
  <c r="M104" i="3"/>
  <c r="G104" i="3"/>
  <c r="D104" i="3"/>
  <c r="C104" i="3"/>
  <c r="BB103" i="3"/>
  <c r="AW103" i="3"/>
  <c r="AV103" i="3"/>
  <c r="AT103" i="3"/>
  <c r="AS103" i="3"/>
  <c r="AQ103" i="3"/>
  <c r="AP103" i="3"/>
  <c r="AO103" i="3"/>
  <c r="AN103" i="3"/>
  <c r="AM103" i="3"/>
  <c r="AI103" i="3"/>
  <c r="AF103" i="3"/>
  <c r="W103" i="3"/>
  <c r="U103" i="3"/>
  <c r="T103" i="3"/>
  <c r="S103" i="3"/>
  <c r="AR103" i="3" s="1"/>
  <c r="P103" i="3"/>
  <c r="O103" i="3"/>
  <c r="N103" i="3"/>
  <c r="M103" i="3"/>
  <c r="G103" i="3"/>
  <c r="D103" i="3"/>
  <c r="C103" i="3"/>
  <c r="BB102" i="3"/>
  <c r="AW102" i="3"/>
  <c r="AV102" i="3"/>
  <c r="AT102" i="3"/>
  <c r="AS102" i="3"/>
  <c r="AR102" i="3"/>
  <c r="AQ102" i="3"/>
  <c r="AP102" i="3"/>
  <c r="AO102" i="3"/>
  <c r="AN102" i="3"/>
  <c r="AM102" i="3"/>
  <c r="AI102" i="3"/>
  <c r="AF102" i="3"/>
  <c r="AL102" i="3" s="1"/>
  <c r="AX102" i="3" s="1"/>
  <c r="W102" i="3"/>
  <c r="U102" i="3"/>
  <c r="T102" i="3"/>
  <c r="S102" i="3"/>
  <c r="P102" i="3"/>
  <c r="O102" i="3"/>
  <c r="N102" i="3"/>
  <c r="M102" i="3"/>
  <c r="G102" i="3"/>
  <c r="D102" i="3"/>
  <c r="C102" i="3"/>
  <c r="BB101" i="3"/>
  <c r="AW101" i="3"/>
  <c r="AV101" i="3"/>
  <c r="AT101" i="3"/>
  <c r="AR101" i="3"/>
  <c r="AQ101" i="3"/>
  <c r="AP101" i="3"/>
  <c r="AO101" i="3"/>
  <c r="AN101" i="3"/>
  <c r="AM101" i="3"/>
  <c r="AI101" i="3"/>
  <c r="AL101" i="3" s="1"/>
  <c r="AX101" i="3" s="1"/>
  <c r="AF101" i="3"/>
  <c r="W101" i="3"/>
  <c r="U101" i="3"/>
  <c r="T101" i="3"/>
  <c r="S101" i="3"/>
  <c r="AS101" i="3" s="1"/>
  <c r="P101" i="3"/>
  <c r="O101" i="3"/>
  <c r="N101" i="3"/>
  <c r="M101" i="3"/>
  <c r="G101" i="3"/>
  <c r="D101" i="3"/>
  <c r="C101" i="3"/>
  <c r="BB100" i="3"/>
  <c r="AX100" i="3"/>
  <c r="AZ100" i="3" s="1"/>
  <c r="AW100" i="3"/>
  <c r="AV100" i="3"/>
  <c r="AT100" i="3"/>
  <c r="AS100" i="3"/>
  <c r="AR100" i="3"/>
  <c r="AP100" i="3"/>
  <c r="AO100" i="3"/>
  <c r="AN100" i="3"/>
  <c r="AM100" i="3"/>
  <c r="AI100" i="3"/>
  <c r="AL100" i="3" s="1"/>
  <c r="AF100" i="3"/>
  <c r="W100" i="3"/>
  <c r="U100" i="3"/>
  <c r="T100" i="3"/>
  <c r="S100" i="3"/>
  <c r="AQ100" i="3" s="1"/>
  <c r="P100" i="3"/>
  <c r="O100" i="3"/>
  <c r="N100" i="3"/>
  <c r="M100" i="3"/>
  <c r="G100" i="3"/>
  <c r="D100" i="3"/>
  <c r="C100" i="3"/>
  <c r="BB99" i="3"/>
  <c r="AW99" i="3"/>
  <c r="AV99" i="3"/>
  <c r="AT99" i="3"/>
  <c r="AS99" i="3"/>
  <c r="AP99" i="3"/>
  <c r="AO99" i="3"/>
  <c r="AN99" i="3"/>
  <c r="AM99" i="3"/>
  <c r="AI99" i="3"/>
  <c r="AF99" i="3"/>
  <c r="W99" i="3"/>
  <c r="U99" i="3"/>
  <c r="T99" i="3"/>
  <c r="S99" i="3"/>
  <c r="P99" i="3"/>
  <c r="O99" i="3"/>
  <c r="N99" i="3"/>
  <c r="M99" i="3"/>
  <c r="G99" i="3"/>
  <c r="D99" i="3"/>
  <c r="C99" i="3"/>
  <c r="BB98" i="3"/>
  <c r="AW98" i="3"/>
  <c r="AV98" i="3"/>
  <c r="AT98" i="3"/>
  <c r="AQ98" i="3"/>
  <c r="AP98" i="3"/>
  <c r="AO98" i="3"/>
  <c r="AN98" i="3"/>
  <c r="AM98" i="3"/>
  <c r="AI98" i="3"/>
  <c r="AF98" i="3"/>
  <c r="W98" i="3"/>
  <c r="U98" i="3"/>
  <c r="T98" i="3"/>
  <c r="S98" i="3"/>
  <c r="P98" i="3"/>
  <c r="O98" i="3"/>
  <c r="N98" i="3"/>
  <c r="M98" i="3"/>
  <c r="G98" i="3"/>
  <c r="D98" i="3"/>
  <c r="C98" i="3"/>
  <c r="BB97" i="3"/>
  <c r="AW97" i="3"/>
  <c r="AV97" i="3"/>
  <c r="AT97" i="3"/>
  <c r="AS97" i="3"/>
  <c r="AR97" i="3"/>
  <c r="AQ97" i="3"/>
  <c r="AP97" i="3"/>
  <c r="AO97" i="3"/>
  <c r="AN97" i="3"/>
  <c r="AM97" i="3"/>
  <c r="AI97" i="3"/>
  <c r="AF97" i="3"/>
  <c r="AL97" i="3" s="1"/>
  <c r="AX97" i="3" s="1"/>
  <c r="W97" i="3"/>
  <c r="U97" i="3"/>
  <c r="T97" i="3"/>
  <c r="S97" i="3"/>
  <c r="P97" i="3"/>
  <c r="O97" i="3"/>
  <c r="N97" i="3"/>
  <c r="M97" i="3"/>
  <c r="G97" i="3"/>
  <c r="D97" i="3"/>
  <c r="C97" i="3"/>
  <c r="BB96" i="3"/>
  <c r="AW96" i="3"/>
  <c r="AV96" i="3"/>
  <c r="AT96" i="3"/>
  <c r="AP96" i="3"/>
  <c r="AO96" i="3"/>
  <c r="AN96" i="3"/>
  <c r="AM96" i="3"/>
  <c r="AL96" i="3"/>
  <c r="AX96" i="3" s="1"/>
  <c r="AI96" i="3"/>
  <c r="AF96" i="3"/>
  <c r="W96" i="3"/>
  <c r="U96" i="3"/>
  <c r="T96" i="3"/>
  <c r="S96" i="3"/>
  <c r="P96" i="3"/>
  <c r="O96" i="3"/>
  <c r="N96" i="3"/>
  <c r="M96" i="3"/>
  <c r="G96" i="3"/>
  <c r="D96" i="3"/>
  <c r="C96" i="3"/>
  <c r="BB95" i="3"/>
  <c r="AW95" i="3"/>
  <c r="AV95" i="3"/>
  <c r="AT95" i="3"/>
  <c r="AS95" i="3"/>
  <c r="AP95" i="3"/>
  <c r="AO95" i="3"/>
  <c r="AN95" i="3"/>
  <c r="AM95" i="3"/>
  <c r="AI95" i="3"/>
  <c r="AF95" i="3"/>
  <c r="AL95" i="3" s="1"/>
  <c r="AX95" i="3" s="1"/>
  <c r="W95" i="3"/>
  <c r="U95" i="3"/>
  <c r="T95" i="3"/>
  <c r="S95" i="3"/>
  <c r="P95" i="3"/>
  <c r="O95" i="3"/>
  <c r="N95" i="3"/>
  <c r="M95" i="3"/>
  <c r="G95" i="3"/>
  <c r="D95" i="3"/>
  <c r="C95" i="3"/>
  <c r="BB94" i="3"/>
  <c r="AW94" i="3"/>
  <c r="AV94" i="3"/>
  <c r="AT94" i="3"/>
  <c r="AR94" i="3"/>
  <c r="AQ94" i="3"/>
  <c r="AP94" i="3"/>
  <c r="AO94" i="3"/>
  <c r="AN94" i="3"/>
  <c r="AM94" i="3"/>
  <c r="AL94" i="3"/>
  <c r="AX94" i="3" s="1"/>
  <c r="AZ94" i="3" s="1"/>
  <c r="AI94" i="3"/>
  <c r="AF94" i="3"/>
  <c r="W94" i="3"/>
  <c r="U94" i="3"/>
  <c r="T94" i="3"/>
  <c r="S94" i="3"/>
  <c r="AS94" i="3" s="1"/>
  <c r="P94" i="3"/>
  <c r="O94" i="3"/>
  <c r="N94" i="3"/>
  <c r="M94" i="3"/>
  <c r="G94" i="3"/>
  <c r="D94" i="3"/>
  <c r="C94" i="3"/>
  <c r="BB93" i="3"/>
  <c r="AZ93" i="3"/>
  <c r="AY93" i="3"/>
  <c r="BA93" i="3" s="1"/>
  <c r="AX93" i="3"/>
  <c r="AW93" i="3"/>
  <c r="AV93" i="3"/>
  <c r="AT93" i="3"/>
  <c r="AS93" i="3"/>
  <c r="AR93" i="3"/>
  <c r="AP93" i="3"/>
  <c r="AO93" i="3"/>
  <c r="AN93" i="3"/>
  <c r="AM93" i="3"/>
  <c r="AI93" i="3"/>
  <c r="AL93" i="3" s="1"/>
  <c r="AF93" i="3"/>
  <c r="W93" i="3"/>
  <c r="U93" i="3"/>
  <c r="T93" i="3"/>
  <c r="S93" i="3"/>
  <c r="AQ93" i="3" s="1"/>
  <c r="P93" i="3"/>
  <c r="O93" i="3"/>
  <c r="N93" i="3"/>
  <c r="M93" i="3"/>
  <c r="G93" i="3"/>
  <c r="D93" i="3"/>
  <c r="C93" i="3"/>
  <c r="BB92" i="3"/>
  <c r="AZ92" i="3"/>
  <c r="AY92" i="3"/>
  <c r="BA92" i="3" s="1"/>
  <c r="AW92" i="3"/>
  <c r="AV92" i="3"/>
  <c r="AT92" i="3"/>
  <c r="AR92" i="3"/>
  <c r="AP92" i="3"/>
  <c r="AO92" i="3"/>
  <c r="AN92" i="3"/>
  <c r="AM92" i="3"/>
  <c r="AI92" i="3"/>
  <c r="AF92" i="3"/>
  <c r="AL92" i="3" s="1"/>
  <c r="AX92" i="3" s="1"/>
  <c r="W92" i="3"/>
  <c r="U92" i="3"/>
  <c r="T92" i="3"/>
  <c r="S92" i="3"/>
  <c r="P92" i="3"/>
  <c r="O92" i="3"/>
  <c r="N92" i="3"/>
  <c r="M92" i="3"/>
  <c r="G92" i="3"/>
  <c r="D92" i="3"/>
  <c r="C92" i="3"/>
  <c r="BB91" i="3"/>
  <c r="AX91" i="3"/>
  <c r="AW91" i="3"/>
  <c r="AV91" i="3"/>
  <c r="AT91" i="3"/>
  <c r="AP91" i="3"/>
  <c r="AO91" i="3"/>
  <c r="AN91" i="3"/>
  <c r="AM91" i="3"/>
  <c r="AL91" i="3"/>
  <c r="AI91" i="3"/>
  <c r="AF91" i="3"/>
  <c r="W91" i="3"/>
  <c r="U91" i="3"/>
  <c r="T91" i="3"/>
  <c r="S91" i="3"/>
  <c r="P91" i="3"/>
  <c r="O91" i="3"/>
  <c r="N91" i="3"/>
  <c r="M91" i="3"/>
  <c r="G91" i="3"/>
  <c r="D91" i="3"/>
  <c r="C91" i="3"/>
  <c r="BB90" i="3"/>
  <c r="AW90" i="3"/>
  <c r="AV90" i="3"/>
  <c r="AT90" i="3"/>
  <c r="AS90" i="3"/>
  <c r="AR90" i="3"/>
  <c r="AQ90" i="3"/>
  <c r="AP90" i="3"/>
  <c r="AO90" i="3"/>
  <c r="AN90" i="3"/>
  <c r="AM90" i="3"/>
  <c r="AI90" i="3"/>
  <c r="AF90" i="3"/>
  <c r="AL90" i="3" s="1"/>
  <c r="AX90" i="3" s="1"/>
  <c r="W90" i="3"/>
  <c r="U90" i="3"/>
  <c r="T90" i="3"/>
  <c r="S90" i="3"/>
  <c r="P90" i="3"/>
  <c r="O90" i="3"/>
  <c r="N90" i="3"/>
  <c r="M90" i="3"/>
  <c r="G90" i="3"/>
  <c r="D90" i="3"/>
  <c r="C90" i="3"/>
  <c r="BB89" i="3"/>
  <c r="AW89" i="3"/>
  <c r="AV89" i="3"/>
  <c r="AT89" i="3"/>
  <c r="AS89" i="3"/>
  <c r="AQ89" i="3"/>
  <c r="AP89" i="3"/>
  <c r="AO89" i="3"/>
  <c r="AN89" i="3"/>
  <c r="AM89" i="3"/>
  <c r="AI89" i="3"/>
  <c r="AF89" i="3"/>
  <c r="AL89" i="3" s="1"/>
  <c r="AX89" i="3" s="1"/>
  <c r="W89" i="3"/>
  <c r="U89" i="3"/>
  <c r="T89" i="3"/>
  <c r="S89" i="3"/>
  <c r="AR89" i="3" s="1"/>
  <c r="P89" i="3"/>
  <c r="O89" i="3"/>
  <c r="N89" i="3"/>
  <c r="M89" i="3"/>
  <c r="G89" i="3"/>
  <c r="D89" i="3"/>
  <c r="C89" i="3"/>
  <c r="BB88" i="3"/>
  <c r="AW88" i="3"/>
  <c r="AV88" i="3"/>
  <c r="AT88" i="3"/>
  <c r="AS88" i="3"/>
  <c r="AR88" i="3"/>
  <c r="AP88" i="3"/>
  <c r="AO88" i="3"/>
  <c r="AN88" i="3"/>
  <c r="AM88" i="3"/>
  <c r="AI88" i="3"/>
  <c r="AF88" i="3"/>
  <c r="AL88" i="3" s="1"/>
  <c r="AX88" i="3" s="1"/>
  <c r="AZ88" i="3" s="1"/>
  <c r="W88" i="3"/>
  <c r="U88" i="3"/>
  <c r="T88" i="3"/>
  <c r="S88" i="3"/>
  <c r="AQ88" i="3" s="1"/>
  <c r="P88" i="3"/>
  <c r="O88" i="3"/>
  <c r="N88" i="3"/>
  <c r="M88" i="3"/>
  <c r="G88" i="3"/>
  <c r="D88" i="3"/>
  <c r="C88" i="3"/>
  <c r="BB87" i="3"/>
  <c r="BA87" i="3"/>
  <c r="AZ87" i="3"/>
  <c r="AY87" i="3"/>
  <c r="AW87" i="3"/>
  <c r="AV87" i="3"/>
  <c r="AT87" i="3"/>
  <c r="AR87" i="3"/>
  <c r="AP87" i="3"/>
  <c r="AO87" i="3"/>
  <c r="AN87" i="3"/>
  <c r="AM87" i="3"/>
  <c r="AI87" i="3"/>
  <c r="AL87" i="3" s="1"/>
  <c r="AX87" i="3" s="1"/>
  <c r="AF87" i="3"/>
  <c r="W87" i="3"/>
  <c r="U87" i="3"/>
  <c r="T87" i="3"/>
  <c r="S87" i="3"/>
  <c r="P87" i="3"/>
  <c r="O87" i="3"/>
  <c r="N87" i="3"/>
  <c r="M87" i="3"/>
  <c r="G87" i="3"/>
  <c r="D87" i="3"/>
  <c r="C87" i="3"/>
  <c r="BB86" i="3"/>
  <c r="AZ86" i="3"/>
  <c r="AX86" i="3"/>
  <c r="AY86" i="3" s="1"/>
  <c r="BA86" i="3" s="1"/>
  <c r="AW86" i="3"/>
  <c r="AV86" i="3"/>
  <c r="AT86" i="3"/>
  <c r="AS86" i="3"/>
  <c r="AR86" i="3"/>
  <c r="AP86" i="3"/>
  <c r="AO86" i="3"/>
  <c r="AN86" i="3"/>
  <c r="AM86" i="3"/>
  <c r="AI86" i="3"/>
  <c r="AF86" i="3"/>
  <c r="AL86" i="3" s="1"/>
  <c r="W86" i="3"/>
  <c r="U86" i="3"/>
  <c r="T86" i="3"/>
  <c r="S86" i="3"/>
  <c r="AQ86" i="3" s="1"/>
  <c r="P86" i="3"/>
  <c r="O86" i="3"/>
  <c r="N86" i="3"/>
  <c r="M86" i="3"/>
  <c r="G86" i="3"/>
  <c r="D86" i="3"/>
  <c r="C86" i="3"/>
  <c r="BB85" i="3"/>
  <c r="AX85" i="3"/>
  <c r="AY85" i="3" s="1"/>
  <c r="BA85" i="3" s="1"/>
  <c r="AW85" i="3"/>
  <c r="AV85" i="3"/>
  <c r="AT85" i="3"/>
  <c r="AR85" i="3"/>
  <c r="AQ85" i="3"/>
  <c r="AP85" i="3"/>
  <c r="AO85" i="3"/>
  <c r="AN85" i="3"/>
  <c r="AM85" i="3"/>
  <c r="AI85" i="3"/>
  <c r="AF85" i="3"/>
  <c r="AL85" i="3" s="1"/>
  <c r="W85" i="3"/>
  <c r="U85" i="3"/>
  <c r="T85" i="3"/>
  <c r="S85" i="3"/>
  <c r="AS85" i="3" s="1"/>
  <c r="P85" i="3"/>
  <c r="O85" i="3"/>
  <c r="N85" i="3"/>
  <c r="M85" i="3"/>
  <c r="G85" i="3"/>
  <c r="D85" i="3"/>
  <c r="C85" i="3"/>
  <c r="BB84" i="3"/>
  <c r="AW84" i="3"/>
  <c r="AV84" i="3"/>
  <c r="AT84" i="3"/>
  <c r="AP84" i="3"/>
  <c r="AO84" i="3"/>
  <c r="AN84" i="3"/>
  <c r="AM84" i="3"/>
  <c r="AI84" i="3"/>
  <c r="AF84" i="3"/>
  <c r="AL84" i="3" s="1"/>
  <c r="AX84" i="3" s="1"/>
  <c r="W84" i="3"/>
  <c r="U84" i="3"/>
  <c r="T84" i="3"/>
  <c r="S84" i="3"/>
  <c r="AS84" i="3" s="1"/>
  <c r="P84" i="3"/>
  <c r="O84" i="3"/>
  <c r="N84" i="3"/>
  <c r="M84" i="3"/>
  <c r="G84" i="3"/>
  <c r="D84" i="3"/>
  <c r="C84" i="3"/>
  <c r="BB83" i="3"/>
  <c r="AW83" i="3"/>
  <c r="AV83" i="3"/>
  <c r="AT83" i="3"/>
  <c r="AP83" i="3"/>
  <c r="AO83" i="3"/>
  <c r="AN83" i="3"/>
  <c r="AM83" i="3"/>
  <c r="AI83" i="3"/>
  <c r="AL83" i="3" s="1"/>
  <c r="AX83" i="3" s="1"/>
  <c r="AF83" i="3"/>
  <c r="W83" i="3"/>
  <c r="U83" i="3"/>
  <c r="T83" i="3"/>
  <c r="S83" i="3"/>
  <c r="P83" i="3"/>
  <c r="O83" i="3"/>
  <c r="N83" i="3"/>
  <c r="M83" i="3"/>
  <c r="G83" i="3"/>
  <c r="D83" i="3"/>
  <c r="C83" i="3"/>
  <c r="BB82" i="3"/>
  <c r="AW82" i="3"/>
  <c r="AV82" i="3"/>
  <c r="AT82" i="3"/>
  <c r="AS82" i="3"/>
  <c r="AR82" i="3"/>
  <c r="AQ82" i="3"/>
  <c r="AP82" i="3"/>
  <c r="AO82" i="3"/>
  <c r="AN82" i="3"/>
  <c r="AM82" i="3"/>
  <c r="AI82" i="3"/>
  <c r="AF82" i="3"/>
  <c r="AL82" i="3" s="1"/>
  <c r="AX82" i="3" s="1"/>
  <c r="W82" i="3"/>
  <c r="U82" i="3"/>
  <c r="T82" i="3"/>
  <c r="S82" i="3"/>
  <c r="P82" i="3"/>
  <c r="O82" i="3"/>
  <c r="N82" i="3"/>
  <c r="M82" i="3"/>
  <c r="G82" i="3"/>
  <c r="D82" i="3"/>
  <c r="C82" i="3"/>
  <c r="BB81" i="3"/>
  <c r="AX81" i="3"/>
  <c r="AZ81" i="3" s="1"/>
  <c r="AW81" i="3"/>
  <c r="AV81" i="3"/>
  <c r="AT81" i="3"/>
  <c r="AS81" i="3"/>
  <c r="AQ81" i="3"/>
  <c r="AP81" i="3"/>
  <c r="AO81" i="3"/>
  <c r="AN81" i="3"/>
  <c r="AM81" i="3"/>
  <c r="AL81" i="3"/>
  <c r="AI81" i="3"/>
  <c r="AF81" i="3"/>
  <c r="W81" i="3"/>
  <c r="U81" i="3"/>
  <c r="T81" i="3"/>
  <c r="S81" i="3"/>
  <c r="AR81" i="3" s="1"/>
  <c r="P81" i="3"/>
  <c r="O81" i="3"/>
  <c r="N81" i="3"/>
  <c r="M81" i="3"/>
  <c r="G81" i="3"/>
  <c r="D81" i="3"/>
  <c r="C81" i="3"/>
  <c r="BB80" i="3"/>
  <c r="AX80" i="3"/>
  <c r="AW80" i="3"/>
  <c r="AV80" i="3"/>
  <c r="AT80" i="3"/>
  <c r="AR80" i="3"/>
  <c r="AP80" i="3"/>
  <c r="AO80" i="3"/>
  <c r="AN80" i="3"/>
  <c r="AM80" i="3"/>
  <c r="AL80" i="3"/>
  <c r="AI80" i="3"/>
  <c r="AF80" i="3"/>
  <c r="W80" i="3"/>
  <c r="U80" i="3"/>
  <c r="T80" i="3"/>
  <c r="S80" i="3"/>
  <c r="P80" i="3"/>
  <c r="O80" i="3"/>
  <c r="N80" i="3"/>
  <c r="M80" i="3"/>
  <c r="G80" i="3"/>
  <c r="D80" i="3"/>
  <c r="C80" i="3"/>
  <c r="BB79" i="3"/>
  <c r="AW79" i="3"/>
  <c r="AV79" i="3"/>
  <c r="AT79" i="3"/>
  <c r="AS79" i="3"/>
  <c r="AR79" i="3"/>
  <c r="AQ79" i="3"/>
  <c r="AP79" i="3"/>
  <c r="AO79" i="3"/>
  <c r="AN79" i="3"/>
  <c r="AM79" i="3"/>
  <c r="AL79" i="3"/>
  <c r="AX79" i="3" s="1"/>
  <c r="AI79" i="3"/>
  <c r="AF79" i="3"/>
  <c r="W79" i="3"/>
  <c r="U79" i="3"/>
  <c r="T79" i="3"/>
  <c r="S79" i="3"/>
  <c r="P79" i="3"/>
  <c r="O79" i="3"/>
  <c r="N79" i="3"/>
  <c r="M79" i="3"/>
  <c r="G79" i="3"/>
  <c r="D79" i="3"/>
  <c r="C79" i="3"/>
  <c r="BB78" i="3"/>
  <c r="AW78" i="3"/>
  <c r="AV78" i="3"/>
  <c r="AT78" i="3"/>
  <c r="AS78" i="3"/>
  <c r="AP78" i="3"/>
  <c r="AO78" i="3"/>
  <c r="AN78" i="3"/>
  <c r="AM78" i="3"/>
  <c r="AL78" i="3"/>
  <c r="AX78" i="3" s="1"/>
  <c r="AI78" i="3"/>
  <c r="AF78" i="3"/>
  <c r="W78" i="3"/>
  <c r="U78" i="3"/>
  <c r="T78" i="3"/>
  <c r="S78" i="3"/>
  <c r="P78" i="3"/>
  <c r="O78" i="3"/>
  <c r="N78" i="3"/>
  <c r="M78" i="3"/>
  <c r="G78" i="3"/>
  <c r="D78" i="3"/>
  <c r="C78" i="3"/>
  <c r="BB77" i="3"/>
  <c r="AW77" i="3"/>
  <c r="AV77" i="3"/>
  <c r="AT77" i="3"/>
  <c r="AS77" i="3"/>
  <c r="AR77" i="3"/>
  <c r="AQ77" i="3"/>
  <c r="AP77" i="3"/>
  <c r="AO77" i="3"/>
  <c r="AN77" i="3"/>
  <c r="AM77" i="3"/>
  <c r="AI77" i="3"/>
  <c r="AF77" i="3"/>
  <c r="W77" i="3"/>
  <c r="U77" i="3"/>
  <c r="T77" i="3"/>
  <c r="S77" i="3"/>
  <c r="P77" i="3"/>
  <c r="O77" i="3"/>
  <c r="N77" i="3"/>
  <c r="M77" i="3"/>
  <c r="G77" i="3"/>
  <c r="D77" i="3"/>
  <c r="C77" i="3"/>
  <c r="BB76" i="3"/>
  <c r="AW76" i="3"/>
  <c r="AV76" i="3"/>
  <c r="AT76" i="3"/>
  <c r="AR76" i="3"/>
  <c r="AQ76" i="3"/>
  <c r="AP76" i="3"/>
  <c r="AO76" i="3"/>
  <c r="AN76" i="3"/>
  <c r="AM76" i="3"/>
  <c r="AI76" i="3"/>
  <c r="AF76" i="3"/>
  <c r="AL76" i="3" s="1"/>
  <c r="AX76" i="3" s="1"/>
  <c r="W76" i="3"/>
  <c r="U76" i="3"/>
  <c r="T76" i="3"/>
  <c r="S76" i="3"/>
  <c r="AS76" i="3" s="1"/>
  <c r="P76" i="3"/>
  <c r="O76" i="3"/>
  <c r="N76" i="3"/>
  <c r="M76" i="3"/>
  <c r="G76" i="3"/>
  <c r="D76" i="3"/>
  <c r="C76" i="3"/>
  <c r="BB75" i="3"/>
  <c r="AX75" i="3"/>
  <c r="AW75" i="3"/>
  <c r="AV75" i="3"/>
  <c r="AT75" i="3"/>
  <c r="AS75" i="3"/>
  <c r="AR75" i="3"/>
  <c r="AQ75" i="3"/>
  <c r="AP75" i="3"/>
  <c r="AO75" i="3"/>
  <c r="AN75" i="3"/>
  <c r="AM75" i="3"/>
  <c r="AI75" i="3"/>
  <c r="AF75" i="3"/>
  <c r="AL75" i="3" s="1"/>
  <c r="W75" i="3"/>
  <c r="U75" i="3"/>
  <c r="T75" i="3"/>
  <c r="S75" i="3"/>
  <c r="P75" i="3"/>
  <c r="O75" i="3"/>
  <c r="N75" i="3"/>
  <c r="M75" i="3"/>
  <c r="G75" i="3"/>
  <c r="D75" i="3"/>
  <c r="C75" i="3"/>
  <c r="BB74" i="3"/>
  <c r="AZ74" i="3"/>
  <c r="AY74" i="3"/>
  <c r="BA74" i="3" s="1"/>
  <c r="AW74" i="3"/>
  <c r="AV74" i="3"/>
  <c r="AT74" i="3"/>
  <c r="AS74" i="3"/>
  <c r="AQ74" i="3"/>
  <c r="AP74" i="3"/>
  <c r="AO74" i="3"/>
  <c r="AN74" i="3"/>
  <c r="AM74" i="3"/>
  <c r="AI74" i="3"/>
  <c r="AF74" i="3"/>
  <c r="AL74" i="3" s="1"/>
  <c r="AX74" i="3" s="1"/>
  <c r="W74" i="3"/>
  <c r="U74" i="3"/>
  <c r="T74" i="3"/>
  <c r="S74" i="3"/>
  <c r="AR74" i="3" s="1"/>
  <c r="P74" i="3"/>
  <c r="O74" i="3"/>
  <c r="N74" i="3"/>
  <c r="M74" i="3"/>
  <c r="G74" i="3"/>
  <c r="D74" i="3"/>
  <c r="C74" i="3"/>
  <c r="BB73" i="3"/>
  <c r="AW73" i="3"/>
  <c r="AV73" i="3"/>
  <c r="AT73" i="3"/>
  <c r="AS73" i="3"/>
  <c r="AQ73" i="3"/>
  <c r="AP73" i="3"/>
  <c r="AO73" i="3"/>
  <c r="AN73" i="3"/>
  <c r="AM73" i="3"/>
  <c r="AI73" i="3"/>
  <c r="AF73" i="3"/>
  <c r="AL73" i="3" s="1"/>
  <c r="AX73" i="3" s="1"/>
  <c r="W73" i="3"/>
  <c r="U73" i="3"/>
  <c r="T73" i="3"/>
  <c r="S73" i="3"/>
  <c r="AR73" i="3" s="1"/>
  <c r="P73" i="3"/>
  <c r="O73" i="3"/>
  <c r="N73" i="3"/>
  <c r="M73" i="3"/>
  <c r="G73" i="3"/>
  <c r="D73" i="3"/>
  <c r="C73" i="3"/>
  <c r="BB72" i="3"/>
  <c r="AW72" i="3"/>
  <c r="AV72" i="3"/>
  <c r="AT72" i="3"/>
  <c r="AS72" i="3"/>
  <c r="AP72" i="3"/>
  <c r="AO72" i="3"/>
  <c r="AN72" i="3"/>
  <c r="AM72" i="3"/>
  <c r="AI72" i="3"/>
  <c r="AF72" i="3"/>
  <c r="AL72" i="3" s="1"/>
  <c r="AX72" i="3" s="1"/>
  <c r="W72" i="3"/>
  <c r="U72" i="3"/>
  <c r="T72" i="3"/>
  <c r="S72" i="3"/>
  <c r="AR72" i="3" s="1"/>
  <c r="P72" i="3"/>
  <c r="O72" i="3"/>
  <c r="N72" i="3"/>
  <c r="M72" i="3"/>
  <c r="G72" i="3"/>
  <c r="D72" i="3"/>
  <c r="C72" i="3"/>
  <c r="BB71" i="3"/>
  <c r="AX71" i="3"/>
  <c r="AZ71" i="3" s="1"/>
  <c r="AW71" i="3"/>
  <c r="AV71" i="3"/>
  <c r="AT71" i="3"/>
  <c r="AP71" i="3"/>
  <c r="AO71" i="3"/>
  <c r="AN71" i="3"/>
  <c r="AM71" i="3"/>
  <c r="AI71" i="3"/>
  <c r="AL71" i="3" s="1"/>
  <c r="AF71" i="3"/>
  <c r="W71" i="3"/>
  <c r="U71" i="3"/>
  <c r="T71" i="3"/>
  <c r="S71" i="3"/>
  <c r="P71" i="3"/>
  <c r="O71" i="3"/>
  <c r="N71" i="3"/>
  <c r="M71" i="3"/>
  <c r="G71" i="3"/>
  <c r="D71" i="3"/>
  <c r="C71" i="3"/>
  <c r="BB70" i="3"/>
  <c r="AW70" i="3"/>
  <c r="AV70" i="3"/>
  <c r="AT70" i="3"/>
  <c r="AR70" i="3"/>
  <c r="AP70" i="3"/>
  <c r="AO70" i="3"/>
  <c r="AN70" i="3"/>
  <c r="AM70" i="3"/>
  <c r="AI70" i="3"/>
  <c r="AL70" i="3" s="1"/>
  <c r="AX70" i="3" s="1"/>
  <c r="AF70" i="3"/>
  <c r="W70" i="3"/>
  <c r="U70" i="3"/>
  <c r="T70" i="3"/>
  <c r="S70" i="3"/>
  <c r="P70" i="3"/>
  <c r="O70" i="3"/>
  <c r="N70" i="3"/>
  <c r="M70" i="3"/>
  <c r="G70" i="3"/>
  <c r="D70" i="3"/>
  <c r="C70" i="3"/>
  <c r="BB69" i="3"/>
  <c r="AW69" i="3"/>
  <c r="AV69" i="3"/>
  <c r="AT69" i="3"/>
  <c r="AS69" i="3"/>
  <c r="AR69" i="3"/>
  <c r="AP69" i="3"/>
  <c r="AO69" i="3"/>
  <c r="AN69" i="3"/>
  <c r="AM69" i="3"/>
  <c r="AI69" i="3"/>
  <c r="AF69" i="3"/>
  <c r="W69" i="3"/>
  <c r="U69" i="3"/>
  <c r="T69" i="3"/>
  <c r="S69" i="3"/>
  <c r="AQ69" i="3" s="1"/>
  <c r="P69" i="3"/>
  <c r="O69" i="3"/>
  <c r="N69" i="3"/>
  <c r="M69" i="3"/>
  <c r="G69" i="3"/>
  <c r="D69" i="3"/>
  <c r="C69" i="3"/>
  <c r="BB68" i="3"/>
  <c r="BA68" i="3"/>
  <c r="AZ68" i="3"/>
  <c r="AY68" i="3"/>
  <c r="AW68" i="3"/>
  <c r="AV68" i="3"/>
  <c r="AT68" i="3"/>
  <c r="AP68" i="3"/>
  <c r="AO68" i="3"/>
  <c r="AN68" i="3"/>
  <c r="AM68" i="3"/>
  <c r="AL68" i="3"/>
  <c r="AX68" i="3" s="1"/>
  <c r="AI68" i="3"/>
  <c r="AF68" i="3"/>
  <c r="W68" i="3"/>
  <c r="U68" i="3"/>
  <c r="T68" i="3"/>
  <c r="S68" i="3"/>
  <c r="AS68" i="3" s="1"/>
  <c r="P68" i="3"/>
  <c r="O68" i="3"/>
  <c r="N68" i="3"/>
  <c r="M68" i="3"/>
  <c r="G68" i="3"/>
  <c r="D68" i="3"/>
  <c r="C68" i="3"/>
  <c r="BB67" i="3"/>
  <c r="AW67" i="3"/>
  <c r="AV67" i="3"/>
  <c r="AT67" i="3"/>
  <c r="AS67" i="3"/>
  <c r="AQ67" i="3"/>
  <c r="AP67" i="3"/>
  <c r="AO67" i="3"/>
  <c r="AN67" i="3"/>
  <c r="AM67" i="3"/>
  <c r="AI67" i="3"/>
  <c r="AF67" i="3"/>
  <c r="AL67" i="3" s="1"/>
  <c r="AX67" i="3" s="1"/>
  <c r="W67" i="3"/>
  <c r="U67" i="3"/>
  <c r="T67" i="3"/>
  <c r="S67" i="3"/>
  <c r="AR67" i="3" s="1"/>
  <c r="P67" i="3"/>
  <c r="O67" i="3"/>
  <c r="N67" i="3"/>
  <c r="M67" i="3"/>
  <c r="G67" i="3"/>
  <c r="D67" i="3"/>
  <c r="C67" i="3"/>
  <c r="BB66" i="3"/>
  <c r="AW66" i="3"/>
  <c r="AV66" i="3"/>
  <c r="AT66" i="3"/>
  <c r="AP66" i="3"/>
  <c r="AO66" i="3"/>
  <c r="AN66" i="3"/>
  <c r="AM66" i="3"/>
  <c r="AL66" i="3"/>
  <c r="AX66" i="3" s="1"/>
  <c r="AI66" i="3"/>
  <c r="AF66" i="3"/>
  <c r="W66" i="3"/>
  <c r="U66" i="3"/>
  <c r="T66" i="3"/>
  <c r="S66" i="3"/>
  <c r="P66" i="3"/>
  <c r="O66" i="3"/>
  <c r="N66" i="3"/>
  <c r="M66" i="3"/>
  <c r="G66" i="3"/>
  <c r="D66" i="3"/>
  <c r="C66" i="3"/>
  <c r="BB65" i="3"/>
  <c r="AW65" i="3"/>
  <c r="AV65" i="3"/>
  <c r="AT65" i="3"/>
  <c r="AS65" i="3"/>
  <c r="AP65" i="3"/>
  <c r="AO65" i="3"/>
  <c r="AN65" i="3"/>
  <c r="AM65" i="3"/>
  <c r="AL65" i="3"/>
  <c r="AX65" i="3" s="1"/>
  <c r="AI65" i="3"/>
  <c r="AF65" i="3"/>
  <c r="W65" i="3"/>
  <c r="U65" i="3"/>
  <c r="T65" i="3"/>
  <c r="S65" i="3"/>
  <c r="P65" i="3"/>
  <c r="O65" i="3"/>
  <c r="N65" i="3"/>
  <c r="M65" i="3"/>
  <c r="G65" i="3"/>
  <c r="D65" i="3"/>
  <c r="C65" i="3"/>
  <c r="BB64" i="3"/>
  <c r="AW64" i="3"/>
  <c r="AV64" i="3"/>
  <c r="AT64" i="3"/>
  <c r="AS64" i="3"/>
  <c r="AR64" i="3"/>
  <c r="AP64" i="3"/>
  <c r="AO64" i="3"/>
  <c r="AN64" i="3"/>
  <c r="AM64" i="3"/>
  <c r="AL64" i="3"/>
  <c r="AX64" i="3" s="1"/>
  <c r="AI64" i="3"/>
  <c r="AF64" i="3"/>
  <c r="W64" i="3"/>
  <c r="U64" i="3"/>
  <c r="T64" i="3"/>
  <c r="S64" i="3"/>
  <c r="AQ64" i="3" s="1"/>
  <c r="P64" i="3"/>
  <c r="O64" i="3"/>
  <c r="N64" i="3"/>
  <c r="M64" i="3"/>
  <c r="G64" i="3"/>
  <c r="D64" i="3"/>
  <c r="C64" i="3"/>
  <c r="BB63" i="3"/>
  <c r="AX63" i="3"/>
  <c r="AY63" i="3" s="1"/>
  <c r="BA63" i="3" s="1"/>
  <c r="AW63" i="3"/>
  <c r="AV63" i="3"/>
  <c r="AT63" i="3"/>
  <c r="AS63" i="3"/>
  <c r="AR63" i="3"/>
  <c r="AP63" i="3"/>
  <c r="AO63" i="3"/>
  <c r="AN63" i="3"/>
  <c r="AM63" i="3"/>
  <c r="AI63" i="3"/>
  <c r="AF63" i="3"/>
  <c r="AL63" i="3" s="1"/>
  <c r="W63" i="3"/>
  <c r="U63" i="3"/>
  <c r="T63" i="3"/>
  <c r="S63" i="3"/>
  <c r="AQ63" i="3" s="1"/>
  <c r="P63" i="3"/>
  <c r="O63" i="3"/>
  <c r="N63" i="3"/>
  <c r="M63" i="3"/>
  <c r="G63" i="3"/>
  <c r="D63" i="3"/>
  <c r="C63" i="3"/>
  <c r="BB62" i="3"/>
  <c r="AW62" i="3"/>
  <c r="AV62" i="3"/>
  <c r="AT62" i="3"/>
  <c r="AP62" i="3"/>
  <c r="AO62" i="3"/>
  <c r="AN62" i="3"/>
  <c r="AM62" i="3"/>
  <c r="AI62" i="3"/>
  <c r="AF62" i="3"/>
  <c r="W62" i="3"/>
  <c r="U62" i="3"/>
  <c r="T62" i="3"/>
  <c r="S62" i="3"/>
  <c r="AS62" i="3" s="1"/>
  <c r="P62" i="3"/>
  <c r="O62" i="3"/>
  <c r="N62" i="3"/>
  <c r="M62" i="3"/>
  <c r="G62" i="3"/>
  <c r="D62" i="3"/>
  <c r="C62" i="3"/>
  <c r="BB61" i="3"/>
  <c r="AW61" i="3"/>
  <c r="AV61" i="3"/>
  <c r="AT61" i="3"/>
  <c r="AP61" i="3"/>
  <c r="AO61" i="3"/>
  <c r="AN61" i="3"/>
  <c r="AM61" i="3"/>
  <c r="AI61" i="3"/>
  <c r="AF61" i="3"/>
  <c r="AL61" i="3" s="1"/>
  <c r="AX61" i="3" s="1"/>
  <c r="W61" i="3"/>
  <c r="U61" i="3"/>
  <c r="T61" i="3"/>
  <c r="S61" i="3"/>
  <c r="P61" i="3"/>
  <c r="O61" i="3"/>
  <c r="N61" i="3"/>
  <c r="M61" i="3"/>
  <c r="G61" i="3"/>
  <c r="D61" i="3"/>
  <c r="C61" i="3"/>
  <c r="BB60" i="3"/>
  <c r="AW60" i="3"/>
  <c r="AV60" i="3"/>
  <c r="AT60" i="3"/>
  <c r="AP60" i="3"/>
  <c r="AO60" i="3"/>
  <c r="AN60" i="3"/>
  <c r="AM60" i="3"/>
  <c r="AI60" i="3"/>
  <c r="AF60" i="3"/>
  <c r="AL60" i="3" s="1"/>
  <c r="AX60" i="3" s="1"/>
  <c r="W60" i="3"/>
  <c r="U60" i="3"/>
  <c r="T60" i="3"/>
  <c r="S60" i="3"/>
  <c r="P60" i="3"/>
  <c r="O60" i="3"/>
  <c r="N60" i="3"/>
  <c r="M60" i="3"/>
  <c r="G60" i="3"/>
  <c r="D60" i="3"/>
  <c r="C60" i="3"/>
  <c r="BB59" i="3"/>
  <c r="AX59" i="3"/>
  <c r="AY59" i="3" s="1"/>
  <c r="BA59" i="3" s="1"/>
  <c r="AW59" i="3"/>
  <c r="AV59" i="3"/>
  <c r="AT59" i="3"/>
  <c r="AS59" i="3"/>
  <c r="AR59" i="3"/>
  <c r="AQ59" i="3"/>
  <c r="AP59" i="3"/>
  <c r="AO59" i="3"/>
  <c r="AN59" i="3"/>
  <c r="AM59" i="3"/>
  <c r="AI59" i="3"/>
  <c r="AF59" i="3"/>
  <c r="AL59" i="3" s="1"/>
  <c r="W59" i="3"/>
  <c r="U59" i="3"/>
  <c r="T59" i="3"/>
  <c r="S59" i="3"/>
  <c r="P59" i="3"/>
  <c r="O59" i="3"/>
  <c r="N59" i="3"/>
  <c r="M59" i="3"/>
  <c r="G59" i="3"/>
  <c r="D59" i="3"/>
  <c r="C59" i="3"/>
  <c r="BB58" i="3"/>
  <c r="AX58" i="3"/>
  <c r="AY58" i="3" s="1"/>
  <c r="BA58" i="3" s="1"/>
  <c r="AW58" i="3"/>
  <c r="AV58" i="3"/>
  <c r="AT58" i="3"/>
  <c r="AS58" i="3"/>
  <c r="AR58" i="3"/>
  <c r="AQ58" i="3"/>
  <c r="AP58" i="3"/>
  <c r="AO58" i="3"/>
  <c r="AN58" i="3"/>
  <c r="AM58" i="3"/>
  <c r="AL58" i="3"/>
  <c r="AI58" i="3"/>
  <c r="AF58" i="3"/>
  <c r="W58" i="3"/>
  <c r="U58" i="3"/>
  <c r="T58" i="3"/>
  <c r="S58" i="3"/>
  <c r="P58" i="3"/>
  <c r="O58" i="3"/>
  <c r="N58" i="3"/>
  <c r="M58" i="3"/>
  <c r="G58" i="3"/>
  <c r="D58" i="3"/>
  <c r="C58" i="3"/>
  <c r="BB57" i="3"/>
  <c r="AW57" i="3"/>
  <c r="AV57" i="3"/>
  <c r="AT57" i="3"/>
  <c r="AP57" i="3"/>
  <c r="AO57" i="3"/>
  <c r="AN57" i="3"/>
  <c r="AM57" i="3"/>
  <c r="AI57" i="3"/>
  <c r="AF57" i="3"/>
  <c r="AL57" i="3" s="1"/>
  <c r="AX57" i="3" s="1"/>
  <c r="AZ57" i="3" s="1"/>
  <c r="W57" i="3"/>
  <c r="U57" i="3"/>
  <c r="T57" i="3"/>
  <c r="S57" i="3"/>
  <c r="P57" i="3"/>
  <c r="O57" i="3"/>
  <c r="N57" i="3"/>
  <c r="M57" i="3"/>
  <c r="G57" i="3"/>
  <c r="D57" i="3"/>
  <c r="C57" i="3"/>
  <c r="BB56" i="3"/>
  <c r="AW56" i="3"/>
  <c r="AV56" i="3"/>
  <c r="AT56" i="3"/>
  <c r="AS56" i="3"/>
  <c r="AR56" i="3"/>
  <c r="AQ56" i="3"/>
  <c r="AP56" i="3"/>
  <c r="AO56" i="3"/>
  <c r="AN56" i="3"/>
  <c r="AM56" i="3"/>
  <c r="AL56" i="3"/>
  <c r="AX56" i="3" s="1"/>
  <c r="AI56" i="3"/>
  <c r="AF56" i="3"/>
  <c r="W56" i="3"/>
  <c r="U56" i="3"/>
  <c r="T56" i="3"/>
  <c r="S56" i="3"/>
  <c r="P56" i="3"/>
  <c r="O56" i="3"/>
  <c r="N56" i="3"/>
  <c r="M56" i="3"/>
  <c r="G56" i="3"/>
  <c r="D56" i="3"/>
  <c r="C56" i="3"/>
  <c r="BB55" i="3"/>
  <c r="AX55" i="3"/>
  <c r="AW55" i="3"/>
  <c r="AV55" i="3"/>
  <c r="AT55" i="3"/>
  <c r="AS55" i="3"/>
  <c r="AP55" i="3"/>
  <c r="AO55" i="3"/>
  <c r="AN55" i="3"/>
  <c r="AM55" i="3"/>
  <c r="AI55" i="3"/>
  <c r="AF55" i="3"/>
  <c r="AL55" i="3" s="1"/>
  <c r="W55" i="3"/>
  <c r="U55" i="3"/>
  <c r="T55" i="3"/>
  <c r="S55" i="3"/>
  <c r="P55" i="3"/>
  <c r="O55" i="3"/>
  <c r="N55" i="3"/>
  <c r="M55" i="3"/>
  <c r="G55" i="3"/>
  <c r="D55" i="3"/>
  <c r="C55" i="3"/>
  <c r="BB54" i="3"/>
  <c r="AX54" i="3"/>
  <c r="AW54" i="3"/>
  <c r="AV54" i="3"/>
  <c r="AT54" i="3"/>
  <c r="AS54" i="3"/>
  <c r="AP54" i="3"/>
  <c r="AO54" i="3"/>
  <c r="AN54" i="3"/>
  <c r="AM54" i="3"/>
  <c r="AI54" i="3"/>
  <c r="AF54" i="3"/>
  <c r="AL54" i="3" s="1"/>
  <c r="W54" i="3"/>
  <c r="U54" i="3"/>
  <c r="T54" i="3"/>
  <c r="S54" i="3"/>
  <c r="P54" i="3"/>
  <c r="O54" i="3"/>
  <c r="N54" i="3"/>
  <c r="M54" i="3"/>
  <c r="G54" i="3"/>
  <c r="D54" i="3"/>
  <c r="C54" i="3"/>
  <c r="BB53" i="3"/>
  <c r="BA53" i="3"/>
  <c r="AZ53" i="3"/>
  <c r="AW53" i="3"/>
  <c r="AV53" i="3"/>
  <c r="AT53" i="3"/>
  <c r="AR53" i="3"/>
  <c r="AQ53" i="3"/>
  <c r="AP53" i="3"/>
  <c r="AO53" i="3"/>
  <c r="AN53" i="3"/>
  <c r="AM53" i="3"/>
  <c r="AI53" i="3"/>
  <c r="AL53" i="3" s="1"/>
  <c r="AX53" i="3" s="1"/>
  <c r="AY53" i="3" s="1"/>
  <c r="AF53" i="3"/>
  <c r="W53" i="3"/>
  <c r="U53" i="3"/>
  <c r="T53" i="3"/>
  <c r="S53" i="3"/>
  <c r="AS53" i="3" s="1"/>
  <c r="P53" i="3"/>
  <c r="O53" i="3"/>
  <c r="N53" i="3"/>
  <c r="M53" i="3"/>
  <c r="G53" i="3"/>
  <c r="D53" i="3"/>
  <c r="C53" i="3"/>
  <c r="BB52" i="3"/>
  <c r="AW52" i="3"/>
  <c r="AV52" i="3"/>
  <c r="AT52" i="3"/>
  <c r="AR52" i="3"/>
  <c r="AP52" i="3"/>
  <c r="AO52" i="3"/>
  <c r="AN52" i="3"/>
  <c r="AM52" i="3"/>
  <c r="AI52" i="3"/>
  <c r="AF52" i="3"/>
  <c r="AL52" i="3" s="1"/>
  <c r="AX52" i="3" s="1"/>
  <c r="W52" i="3"/>
  <c r="U52" i="3"/>
  <c r="T52" i="3"/>
  <c r="S52" i="3"/>
  <c r="AQ52" i="3" s="1"/>
  <c r="P52" i="3"/>
  <c r="O52" i="3"/>
  <c r="N52" i="3"/>
  <c r="M52" i="3"/>
  <c r="G52" i="3"/>
  <c r="D52" i="3"/>
  <c r="C52" i="3"/>
  <c r="BB51" i="3"/>
  <c r="AW51" i="3"/>
  <c r="AV51" i="3"/>
  <c r="AT51" i="3"/>
  <c r="AS51" i="3"/>
  <c r="AP51" i="3"/>
  <c r="AO51" i="3"/>
  <c r="AN51" i="3"/>
  <c r="AM51" i="3"/>
  <c r="AL51" i="3"/>
  <c r="AX51" i="3" s="1"/>
  <c r="AI51" i="3"/>
  <c r="AF51" i="3"/>
  <c r="W51" i="3"/>
  <c r="U51" i="3"/>
  <c r="T51" i="3"/>
  <c r="S51" i="3"/>
  <c r="AR51" i="3" s="1"/>
  <c r="P51" i="3"/>
  <c r="O51" i="3"/>
  <c r="N51" i="3"/>
  <c r="M51" i="3"/>
  <c r="G51" i="3"/>
  <c r="D51" i="3"/>
  <c r="C51" i="3"/>
  <c r="BB50" i="3"/>
  <c r="AW50" i="3"/>
  <c r="AV50" i="3"/>
  <c r="AT50" i="3"/>
  <c r="AP50" i="3"/>
  <c r="AO50" i="3"/>
  <c r="AN50" i="3"/>
  <c r="AM50" i="3"/>
  <c r="AL50" i="3"/>
  <c r="AX50" i="3" s="1"/>
  <c r="AI50" i="3"/>
  <c r="AF50" i="3"/>
  <c r="W50" i="3"/>
  <c r="U50" i="3"/>
  <c r="T50" i="3"/>
  <c r="S50" i="3"/>
  <c r="P50" i="3"/>
  <c r="O50" i="3"/>
  <c r="N50" i="3"/>
  <c r="M50" i="3"/>
  <c r="G50" i="3"/>
  <c r="D50" i="3"/>
  <c r="C50" i="3"/>
  <c r="BB49" i="3"/>
  <c r="AW49" i="3"/>
  <c r="AV49" i="3"/>
  <c r="AT49" i="3"/>
  <c r="AS49" i="3"/>
  <c r="AR49" i="3"/>
  <c r="AQ49" i="3"/>
  <c r="AP49" i="3"/>
  <c r="AO49" i="3"/>
  <c r="AN49" i="3"/>
  <c r="AM49" i="3"/>
  <c r="AI49" i="3"/>
  <c r="AF49" i="3"/>
  <c r="AL49" i="3" s="1"/>
  <c r="AX49" i="3" s="1"/>
  <c r="W49" i="3"/>
  <c r="U49" i="3"/>
  <c r="T49" i="3"/>
  <c r="S49" i="3"/>
  <c r="P49" i="3"/>
  <c r="O49" i="3"/>
  <c r="N49" i="3"/>
  <c r="M49" i="3"/>
  <c r="G49" i="3"/>
  <c r="D49" i="3"/>
  <c r="C49" i="3"/>
  <c r="BB48" i="3"/>
  <c r="AZ48" i="3"/>
  <c r="AY48" i="3"/>
  <c r="BA48" i="3" s="1"/>
  <c r="AW48" i="3"/>
  <c r="AV48" i="3"/>
  <c r="AT48" i="3"/>
  <c r="AR48" i="3"/>
  <c r="AQ48" i="3"/>
  <c r="AP48" i="3"/>
  <c r="AO48" i="3"/>
  <c r="AN48" i="3"/>
  <c r="AM48" i="3"/>
  <c r="AL48" i="3"/>
  <c r="AX48" i="3" s="1"/>
  <c r="AI48" i="3"/>
  <c r="AF48" i="3"/>
  <c r="W48" i="3"/>
  <c r="U48" i="3"/>
  <c r="T48" i="3"/>
  <c r="S48" i="3"/>
  <c r="AS48" i="3" s="1"/>
  <c r="P48" i="3"/>
  <c r="O48" i="3"/>
  <c r="N48" i="3"/>
  <c r="M48" i="3"/>
  <c r="G48" i="3"/>
  <c r="D48" i="3"/>
  <c r="C48" i="3"/>
  <c r="BB47" i="3"/>
  <c r="AZ47" i="3"/>
  <c r="AX47" i="3"/>
  <c r="AY47" i="3" s="1"/>
  <c r="BA47" i="3" s="1"/>
  <c r="AW47" i="3"/>
  <c r="AV47" i="3"/>
  <c r="AT47" i="3"/>
  <c r="AP47" i="3"/>
  <c r="AO47" i="3"/>
  <c r="AN47" i="3"/>
  <c r="AM47" i="3"/>
  <c r="AI47" i="3"/>
  <c r="AF47" i="3"/>
  <c r="AL47" i="3" s="1"/>
  <c r="W47" i="3"/>
  <c r="U47" i="3"/>
  <c r="T47" i="3"/>
  <c r="S47" i="3"/>
  <c r="P47" i="3"/>
  <c r="O47" i="3"/>
  <c r="N47" i="3"/>
  <c r="M47" i="3"/>
  <c r="G47" i="3"/>
  <c r="D47" i="3"/>
  <c r="C47" i="3"/>
  <c r="BB46" i="3"/>
  <c r="AW46" i="3"/>
  <c r="AV46" i="3"/>
  <c r="AT46" i="3"/>
  <c r="AP46" i="3"/>
  <c r="AO46" i="3"/>
  <c r="AN46" i="3"/>
  <c r="AM46" i="3"/>
  <c r="AI46" i="3"/>
  <c r="AF46" i="3"/>
  <c r="AL46" i="3" s="1"/>
  <c r="AX46" i="3" s="1"/>
  <c r="W46" i="3"/>
  <c r="U46" i="3"/>
  <c r="T46" i="3"/>
  <c r="S46" i="3"/>
  <c r="P46" i="3"/>
  <c r="O46" i="3"/>
  <c r="N46" i="3"/>
  <c r="M46" i="3"/>
  <c r="G46" i="3"/>
  <c r="D46" i="3"/>
  <c r="C46" i="3"/>
  <c r="BB45" i="3"/>
  <c r="AW45" i="3"/>
  <c r="AV45" i="3"/>
  <c r="AT45" i="3"/>
  <c r="AP45" i="3"/>
  <c r="AO45" i="3"/>
  <c r="AN45" i="3"/>
  <c r="AM45" i="3"/>
  <c r="AI45" i="3"/>
  <c r="AL45" i="3" s="1"/>
  <c r="AX45" i="3" s="1"/>
  <c r="AF45" i="3"/>
  <c r="W45" i="3"/>
  <c r="U45" i="3"/>
  <c r="T45" i="3"/>
  <c r="S45" i="3"/>
  <c r="P45" i="3"/>
  <c r="O45" i="3"/>
  <c r="N45" i="3"/>
  <c r="M45" i="3"/>
  <c r="G45" i="3"/>
  <c r="D45" i="3"/>
  <c r="C45" i="3"/>
  <c r="BB44" i="3"/>
  <c r="AW44" i="3"/>
  <c r="AV44" i="3"/>
  <c r="AT44" i="3"/>
  <c r="AS44" i="3"/>
  <c r="AR44" i="3"/>
  <c r="AQ44" i="3"/>
  <c r="AP44" i="3"/>
  <c r="AO44" i="3"/>
  <c r="AN44" i="3"/>
  <c r="AM44" i="3"/>
  <c r="AL44" i="3"/>
  <c r="AX44" i="3" s="1"/>
  <c r="AI44" i="3"/>
  <c r="AF44" i="3"/>
  <c r="W44" i="3"/>
  <c r="U44" i="3"/>
  <c r="T44" i="3"/>
  <c r="S44" i="3"/>
  <c r="P44" i="3"/>
  <c r="O44" i="3"/>
  <c r="N44" i="3"/>
  <c r="M44" i="3"/>
  <c r="G44" i="3"/>
  <c r="D44" i="3"/>
  <c r="C44" i="3"/>
  <c r="BB43" i="3"/>
  <c r="AZ43" i="3"/>
  <c r="AY43" i="3"/>
  <c r="BA43" i="3" s="1"/>
  <c r="AW43" i="3"/>
  <c r="AV43" i="3"/>
  <c r="AT43" i="3"/>
  <c r="AS43" i="3"/>
  <c r="AR43" i="3"/>
  <c r="AP43" i="3"/>
  <c r="AO43" i="3"/>
  <c r="AN43" i="3"/>
  <c r="AM43" i="3"/>
  <c r="AL43" i="3"/>
  <c r="AX43" i="3" s="1"/>
  <c r="AI43" i="3"/>
  <c r="AF43" i="3"/>
  <c r="W43" i="3"/>
  <c r="U43" i="3"/>
  <c r="T43" i="3"/>
  <c r="S43" i="3"/>
  <c r="AQ43" i="3" s="1"/>
  <c r="P43" i="3"/>
  <c r="O43" i="3"/>
  <c r="N43" i="3"/>
  <c r="M43" i="3"/>
  <c r="G43" i="3"/>
  <c r="D43" i="3"/>
  <c r="C43" i="3"/>
  <c r="BB42" i="3"/>
  <c r="AW42" i="3"/>
  <c r="AV42" i="3"/>
  <c r="AT42" i="3"/>
  <c r="AP42" i="3"/>
  <c r="AO42" i="3"/>
  <c r="AN42" i="3"/>
  <c r="AM42" i="3"/>
  <c r="AI42" i="3"/>
  <c r="AF42" i="3"/>
  <c r="AL42" i="3" s="1"/>
  <c r="AX42" i="3" s="1"/>
  <c r="AY42" i="3" s="1"/>
  <c r="BA42" i="3" s="1"/>
  <c r="W42" i="3"/>
  <c r="U42" i="3"/>
  <c r="T42" i="3"/>
  <c r="S42" i="3"/>
  <c r="P42" i="3"/>
  <c r="O42" i="3"/>
  <c r="N42" i="3"/>
  <c r="M42" i="3"/>
  <c r="G42" i="3"/>
  <c r="D42" i="3"/>
  <c r="C42" i="3"/>
  <c r="BB41" i="3"/>
  <c r="AW41" i="3"/>
  <c r="AV41" i="3"/>
  <c r="AT41" i="3"/>
  <c r="AS41" i="3"/>
  <c r="AR41" i="3"/>
  <c r="AQ41" i="3"/>
  <c r="AP41" i="3"/>
  <c r="AO41" i="3"/>
  <c r="AN41" i="3"/>
  <c r="AM41" i="3"/>
  <c r="AI41" i="3"/>
  <c r="AF41" i="3"/>
  <c r="W41" i="3"/>
  <c r="U41" i="3"/>
  <c r="T41" i="3"/>
  <c r="S41" i="3"/>
  <c r="P41" i="3"/>
  <c r="O41" i="3"/>
  <c r="N41" i="3"/>
  <c r="M41" i="3"/>
  <c r="G41" i="3"/>
  <c r="D41" i="3"/>
  <c r="C41" i="3"/>
  <c r="BB40" i="3"/>
  <c r="AW40" i="3"/>
  <c r="AV40" i="3"/>
  <c r="AT40" i="3"/>
  <c r="AR40" i="3"/>
  <c r="AQ40" i="3"/>
  <c r="AP40" i="3"/>
  <c r="AO40" i="3"/>
  <c r="AN40" i="3"/>
  <c r="AM40" i="3"/>
  <c r="AI40" i="3"/>
  <c r="AF40" i="3"/>
  <c r="W40" i="3"/>
  <c r="U40" i="3"/>
  <c r="T40" i="3"/>
  <c r="S40" i="3"/>
  <c r="AS40" i="3" s="1"/>
  <c r="P40" i="3"/>
  <c r="O40" i="3"/>
  <c r="N40" i="3"/>
  <c r="M40" i="3"/>
  <c r="G40" i="3"/>
  <c r="D40" i="3"/>
  <c r="C40" i="3"/>
  <c r="BB39" i="3"/>
  <c r="AX39" i="3"/>
  <c r="AZ39" i="3" s="1"/>
  <c r="AW39" i="3"/>
  <c r="AV39" i="3"/>
  <c r="AT39" i="3"/>
  <c r="AR39" i="3"/>
  <c r="AQ39" i="3"/>
  <c r="AP39" i="3"/>
  <c r="AO39" i="3"/>
  <c r="AN39" i="3"/>
  <c r="AM39" i="3"/>
  <c r="AL39" i="3"/>
  <c r="AI39" i="3"/>
  <c r="AF39" i="3"/>
  <c r="W39" i="3"/>
  <c r="U39" i="3"/>
  <c r="T39" i="3"/>
  <c r="S39" i="3"/>
  <c r="AS39" i="3" s="1"/>
  <c r="P39" i="3"/>
  <c r="O39" i="3"/>
  <c r="N39" i="3"/>
  <c r="M39" i="3"/>
  <c r="G39" i="3"/>
  <c r="D39" i="3"/>
  <c r="C39" i="3"/>
  <c r="BB38" i="3"/>
  <c r="AW38" i="3"/>
  <c r="AV38" i="3"/>
  <c r="AT38" i="3"/>
  <c r="AS38" i="3"/>
  <c r="AP38" i="3"/>
  <c r="AO38" i="3"/>
  <c r="AN38" i="3"/>
  <c r="AM38" i="3"/>
  <c r="AI38" i="3"/>
  <c r="AF38" i="3"/>
  <c r="AL38" i="3" s="1"/>
  <c r="AX38" i="3" s="1"/>
  <c r="W38" i="3"/>
  <c r="U38" i="3"/>
  <c r="T38" i="3"/>
  <c r="S38" i="3"/>
  <c r="P38" i="3"/>
  <c r="O38" i="3"/>
  <c r="N38" i="3"/>
  <c r="M38" i="3"/>
  <c r="G38" i="3"/>
  <c r="D38" i="3"/>
  <c r="C38" i="3"/>
  <c r="BB37" i="3"/>
  <c r="BA37" i="3"/>
  <c r="AZ37" i="3"/>
  <c r="AX37" i="3"/>
  <c r="AY37" i="3" s="1"/>
  <c r="AW37" i="3"/>
  <c r="AV37" i="3"/>
  <c r="AT37" i="3"/>
  <c r="AP37" i="3"/>
  <c r="AO37" i="3"/>
  <c r="AN37" i="3"/>
  <c r="AM37" i="3"/>
  <c r="AI37" i="3"/>
  <c r="AF37" i="3"/>
  <c r="AL37" i="3" s="1"/>
  <c r="W37" i="3"/>
  <c r="U37" i="3"/>
  <c r="T37" i="3"/>
  <c r="S37" i="3"/>
  <c r="AS37" i="3" s="1"/>
  <c r="P37" i="3"/>
  <c r="O37" i="3"/>
  <c r="N37" i="3"/>
  <c r="M37" i="3"/>
  <c r="G37" i="3"/>
  <c r="D37" i="3"/>
  <c r="C37" i="3"/>
  <c r="BB36" i="3"/>
  <c r="AW36" i="3"/>
  <c r="AV36" i="3"/>
  <c r="AT36" i="3"/>
  <c r="AS36" i="3"/>
  <c r="AR36" i="3"/>
  <c r="AQ36" i="3"/>
  <c r="AP36" i="3"/>
  <c r="AO36" i="3"/>
  <c r="AN36" i="3"/>
  <c r="AM36" i="3"/>
  <c r="AL36" i="3"/>
  <c r="AX36" i="3" s="1"/>
  <c r="AI36" i="3"/>
  <c r="AF36" i="3"/>
  <c r="W36" i="3"/>
  <c r="U36" i="3"/>
  <c r="T36" i="3"/>
  <c r="S36" i="3"/>
  <c r="P36" i="3"/>
  <c r="O36" i="3"/>
  <c r="N36" i="3"/>
  <c r="M36" i="3"/>
  <c r="G36" i="3"/>
  <c r="D36" i="3"/>
  <c r="C36" i="3"/>
  <c r="BB35" i="3"/>
  <c r="AY35" i="3"/>
  <c r="BA35" i="3" s="1"/>
  <c r="AW35" i="3"/>
  <c r="AV35" i="3"/>
  <c r="AT35" i="3"/>
  <c r="AS35" i="3"/>
  <c r="AR35" i="3"/>
  <c r="AQ35" i="3"/>
  <c r="AP35" i="3"/>
  <c r="AO35" i="3"/>
  <c r="AN35" i="3"/>
  <c r="AM35" i="3"/>
  <c r="AL35" i="3"/>
  <c r="AX35" i="3" s="1"/>
  <c r="AZ35" i="3" s="1"/>
  <c r="AI35" i="3"/>
  <c r="AF35" i="3"/>
  <c r="W35" i="3"/>
  <c r="U35" i="3"/>
  <c r="T35" i="3"/>
  <c r="S35" i="3"/>
  <c r="P35" i="3"/>
  <c r="O35" i="3"/>
  <c r="N35" i="3"/>
  <c r="M35" i="3"/>
  <c r="G35" i="3"/>
  <c r="D35" i="3"/>
  <c r="C35" i="3"/>
  <c r="BB34" i="3"/>
  <c r="AX34" i="3"/>
  <c r="AW34" i="3"/>
  <c r="AV34" i="3"/>
  <c r="AT34" i="3"/>
  <c r="AS34" i="3"/>
  <c r="AR34" i="3"/>
  <c r="AQ34" i="3"/>
  <c r="AP34" i="3"/>
  <c r="AO34" i="3"/>
  <c r="AN34" i="3"/>
  <c r="AM34" i="3"/>
  <c r="AL34" i="3"/>
  <c r="AI34" i="3"/>
  <c r="AF34" i="3"/>
  <c r="W34" i="3"/>
  <c r="U34" i="3"/>
  <c r="T34" i="3"/>
  <c r="S34" i="3"/>
  <c r="P34" i="3"/>
  <c r="O34" i="3"/>
  <c r="N34" i="3"/>
  <c r="M34" i="3"/>
  <c r="G34" i="3"/>
  <c r="D34" i="3"/>
  <c r="C34" i="3"/>
  <c r="BB33" i="3"/>
  <c r="AW33" i="3"/>
  <c r="AV33" i="3"/>
  <c r="AT33" i="3"/>
  <c r="AP33" i="3"/>
  <c r="AO33" i="3"/>
  <c r="AN33" i="3"/>
  <c r="AM33" i="3"/>
  <c r="AI33" i="3"/>
  <c r="AF33" i="3"/>
  <c r="AL33" i="3" s="1"/>
  <c r="AX33" i="3" s="1"/>
  <c r="W33" i="3"/>
  <c r="U33" i="3"/>
  <c r="T33" i="3"/>
  <c r="S33" i="3"/>
  <c r="P33" i="3"/>
  <c r="O33" i="3"/>
  <c r="N33" i="3"/>
  <c r="M33" i="3"/>
  <c r="G33" i="3"/>
  <c r="D33" i="3"/>
  <c r="C33" i="3"/>
  <c r="BB32" i="3"/>
  <c r="AW32" i="3"/>
  <c r="AV32" i="3"/>
  <c r="AT32" i="3"/>
  <c r="AP32" i="3"/>
  <c r="AO32" i="3"/>
  <c r="AN32" i="3"/>
  <c r="AM32" i="3"/>
  <c r="AI32" i="3"/>
  <c r="AF32" i="3"/>
  <c r="AL32" i="3" s="1"/>
  <c r="AX32" i="3" s="1"/>
  <c r="W32" i="3"/>
  <c r="U32" i="3"/>
  <c r="T32" i="3"/>
  <c r="S32" i="3"/>
  <c r="P32" i="3"/>
  <c r="O32" i="3"/>
  <c r="N32" i="3"/>
  <c r="M32" i="3"/>
  <c r="G32" i="3"/>
  <c r="D32" i="3"/>
  <c r="C32" i="3"/>
  <c r="BB31" i="3"/>
  <c r="AW31" i="3"/>
  <c r="AV31" i="3"/>
  <c r="AT31" i="3"/>
  <c r="AR31" i="3"/>
  <c r="AQ31" i="3"/>
  <c r="AP31" i="3"/>
  <c r="AO31" i="3"/>
  <c r="AN31" i="3"/>
  <c r="AM31" i="3"/>
  <c r="AI31" i="3"/>
  <c r="AL31" i="3" s="1"/>
  <c r="AX31" i="3" s="1"/>
  <c r="AF31" i="3"/>
  <c r="W31" i="3"/>
  <c r="U31" i="3"/>
  <c r="T31" i="3"/>
  <c r="S31" i="3"/>
  <c r="AS31" i="3" s="1"/>
  <c r="P31" i="3"/>
  <c r="O31" i="3"/>
  <c r="N31" i="3"/>
  <c r="M31" i="3"/>
  <c r="G31" i="3"/>
  <c r="D31" i="3"/>
  <c r="C31" i="3"/>
  <c r="BB30" i="3"/>
  <c r="AW30" i="3"/>
  <c r="AV30" i="3"/>
  <c r="AT30" i="3"/>
  <c r="AR30" i="3"/>
  <c r="AP30" i="3"/>
  <c r="AO30" i="3"/>
  <c r="AN30" i="3"/>
  <c r="AM30" i="3"/>
  <c r="AI30" i="3"/>
  <c r="AL30" i="3" s="1"/>
  <c r="AX30" i="3" s="1"/>
  <c r="AF30" i="3"/>
  <c r="W30" i="3"/>
  <c r="U30" i="3"/>
  <c r="T30" i="3"/>
  <c r="S30" i="3"/>
  <c r="AQ30" i="3" s="1"/>
  <c r="P30" i="3"/>
  <c r="O30" i="3"/>
  <c r="N30" i="3"/>
  <c r="M30" i="3"/>
  <c r="G30" i="3"/>
  <c r="D30" i="3"/>
  <c r="C30" i="3"/>
  <c r="BB29" i="3"/>
  <c r="AW29" i="3"/>
  <c r="AV29" i="3"/>
  <c r="AT29" i="3"/>
  <c r="AS29" i="3"/>
  <c r="AR29" i="3"/>
  <c r="AQ29" i="3"/>
  <c r="AP29" i="3"/>
  <c r="AO29" i="3"/>
  <c r="AN29" i="3"/>
  <c r="AM29" i="3"/>
  <c r="AL29" i="3"/>
  <c r="AX29" i="3" s="1"/>
  <c r="AI29" i="3"/>
  <c r="AF29" i="3"/>
  <c r="W29" i="3"/>
  <c r="U29" i="3"/>
  <c r="T29" i="3"/>
  <c r="S29" i="3"/>
  <c r="P29" i="3"/>
  <c r="O29" i="3"/>
  <c r="N29" i="3"/>
  <c r="M29" i="3"/>
  <c r="G29" i="3"/>
  <c r="D29" i="3"/>
  <c r="C29" i="3"/>
  <c r="BB28" i="3"/>
  <c r="AW28" i="3"/>
  <c r="AV28" i="3"/>
  <c r="AT28" i="3"/>
  <c r="AP28" i="3"/>
  <c r="AO28" i="3"/>
  <c r="AN28" i="3"/>
  <c r="AM28" i="3"/>
  <c r="AI28" i="3"/>
  <c r="AF28" i="3"/>
  <c r="AL28" i="3" s="1"/>
  <c r="AX28" i="3" s="1"/>
  <c r="W28" i="3"/>
  <c r="U28" i="3"/>
  <c r="T28" i="3"/>
  <c r="S28" i="3"/>
  <c r="P28" i="3"/>
  <c r="O28" i="3"/>
  <c r="N28" i="3"/>
  <c r="M28" i="3"/>
  <c r="G28" i="3"/>
  <c r="D28" i="3"/>
  <c r="C28" i="3"/>
  <c r="BB27" i="3"/>
  <c r="AW27" i="3"/>
  <c r="AV27" i="3"/>
  <c r="AT27" i="3"/>
  <c r="AP27" i="3"/>
  <c r="AO27" i="3"/>
  <c r="AN27" i="3"/>
  <c r="AM27" i="3"/>
  <c r="AI27" i="3"/>
  <c r="AF27" i="3"/>
  <c r="AL27" i="3" s="1"/>
  <c r="AX27" i="3" s="1"/>
  <c r="W27" i="3"/>
  <c r="U27" i="3"/>
  <c r="T27" i="3"/>
  <c r="S27" i="3"/>
  <c r="P27" i="3"/>
  <c r="O27" i="3"/>
  <c r="N27" i="3"/>
  <c r="M27" i="3"/>
  <c r="G27" i="3"/>
  <c r="D27" i="3"/>
  <c r="C27" i="3"/>
  <c r="BB26" i="3"/>
  <c r="AW26" i="3"/>
  <c r="AV26" i="3"/>
  <c r="AT26" i="3"/>
  <c r="AR26" i="3"/>
  <c r="AQ26" i="3"/>
  <c r="AP26" i="3"/>
  <c r="AO26" i="3"/>
  <c r="AN26" i="3"/>
  <c r="AM26" i="3"/>
  <c r="AL26" i="3"/>
  <c r="AX26" i="3" s="1"/>
  <c r="AI26" i="3"/>
  <c r="AF26" i="3"/>
  <c r="W26" i="3"/>
  <c r="U26" i="3"/>
  <c r="T26" i="3"/>
  <c r="S26" i="3"/>
  <c r="AS26" i="3" s="1"/>
  <c r="P26" i="3"/>
  <c r="O26" i="3"/>
  <c r="N26" i="3"/>
  <c r="M26" i="3"/>
  <c r="G26" i="3"/>
  <c r="D26" i="3"/>
  <c r="C26" i="3"/>
  <c r="BB25" i="3"/>
  <c r="AX25" i="3"/>
  <c r="AZ25" i="3" s="1"/>
  <c r="AW25" i="3"/>
  <c r="AV25" i="3"/>
  <c r="AT25" i="3"/>
  <c r="AS25" i="3"/>
  <c r="AR25" i="3"/>
  <c r="AP25" i="3"/>
  <c r="AO25" i="3"/>
  <c r="AN25" i="3"/>
  <c r="AM25" i="3"/>
  <c r="AI25" i="3"/>
  <c r="AF25" i="3"/>
  <c r="AL25" i="3" s="1"/>
  <c r="W25" i="3"/>
  <c r="U25" i="3"/>
  <c r="T25" i="3"/>
  <c r="S25" i="3"/>
  <c r="AQ25" i="3" s="1"/>
  <c r="P25" i="3"/>
  <c r="O25" i="3"/>
  <c r="N25" i="3"/>
  <c r="M25" i="3"/>
  <c r="G25" i="3"/>
  <c r="D25" i="3"/>
  <c r="C25" i="3"/>
  <c r="BB24" i="3"/>
  <c r="AW24" i="3"/>
  <c r="AV24" i="3"/>
  <c r="AT24" i="3"/>
  <c r="AP24" i="3"/>
  <c r="AO24" i="3"/>
  <c r="AN24" i="3"/>
  <c r="AM24" i="3"/>
  <c r="AL24" i="3"/>
  <c r="AX24" i="3" s="1"/>
  <c r="AI24" i="3"/>
  <c r="AF24" i="3"/>
  <c r="W24" i="3"/>
  <c r="U24" i="3"/>
  <c r="T24" i="3"/>
  <c r="S24" i="3"/>
  <c r="P24" i="3"/>
  <c r="O24" i="3"/>
  <c r="N24" i="3"/>
  <c r="M24" i="3"/>
  <c r="G24" i="3"/>
  <c r="D24" i="3"/>
  <c r="C24" i="3"/>
  <c r="BB23" i="3"/>
  <c r="AW23" i="3"/>
  <c r="AV23" i="3"/>
  <c r="AT23" i="3"/>
  <c r="AP23" i="3"/>
  <c r="AO23" i="3"/>
  <c r="AN23" i="3"/>
  <c r="AM23" i="3"/>
  <c r="AI23" i="3"/>
  <c r="AF23" i="3"/>
  <c r="AL23" i="3" s="1"/>
  <c r="AX23" i="3" s="1"/>
  <c r="W23" i="3"/>
  <c r="U23" i="3"/>
  <c r="T23" i="3"/>
  <c r="S23" i="3"/>
  <c r="P23" i="3"/>
  <c r="O23" i="3"/>
  <c r="N23" i="3"/>
  <c r="M23" i="3"/>
  <c r="G23" i="3"/>
  <c r="D23" i="3"/>
  <c r="C23" i="3"/>
  <c r="BB22" i="3"/>
  <c r="AW22" i="3"/>
  <c r="AV22" i="3"/>
  <c r="AT22" i="3"/>
  <c r="AS22" i="3"/>
  <c r="AR22" i="3"/>
  <c r="AQ22" i="3"/>
  <c r="AP22" i="3"/>
  <c r="AO22" i="3"/>
  <c r="AN22" i="3"/>
  <c r="AM22" i="3"/>
  <c r="AL22" i="3"/>
  <c r="AX22" i="3" s="1"/>
  <c r="AI22" i="3"/>
  <c r="AF22" i="3"/>
  <c r="W22" i="3"/>
  <c r="U22" i="3"/>
  <c r="T22" i="3"/>
  <c r="S22" i="3"/>
  <c r="P22" i="3"/>
  <c r="O22" i="3"/>
  <c r="N22" i="3"/>
  <c r="M22" i="3"/>
  <c r="G22" i="3"/>
  <c r="D22" i="3"/>
  <c r="C22" i="3"/>
  <c r="BB21" i="3"/>
  <c r="AW21" i="3"/>
  <c r="AV21" i="3"/>
  <c r="AT21" i="3"/>
  <c r="AS21" i="3"/>
  <c r="AR21" i="3"/>
  <c r="AP21" i="3"/>
  <c r="AO21" i="3"/>
  <c r="AN21" i="3"/>
  <c r="AM21" i="3"/>
  <c r="AI21" i="3"/>
  <c r="AF21" i="3"/>
  <c r="AL21" i="3" s="1"/>
  <c r="AX21" i="3" s="1"/>
  <c r="W21" i="3"/>
  <c r="U21" i="3"/>
  <c r="T21" i="3"/>
  <c r="S21" i="3"/>
  <c r="AQ21" i="3" s="1"/>
  <c r="P21" i="3"/>
  <c r="O21" i="3"/>
  <c r="N21" i="3"/>
  <c r="M21" i="3"/>
  <c r="G21" i="3"/>
  <c r="D21" i="3"/>
  <c r="C21" i="3"/>
  <c r="BB20" i="3"/>
  <c r="AW20" i="3"/>
  <c r="AV20" i="3"/>
  <c r="AT20" i="3"/>
  <c r="AS20" i="3"/>
  <c r="AR20" i="3"/>
  <c r="AQ20" i="3"/>
  <c r="AP20" i="3"/>
  <c r="AO20" i="3"/>
  <c r="AN20" i="3"/>
  <c r="AM20" i="3"/>
  <c r="AI20" i="3"/>
  <c r="AF20" i="3"/>
  <c r="AL20" i="3" s="1"/>
  <c r="AX20" i="3" s="1"/>
  <c r="AY20" i="3" s="1"/>
  <c r="BA20" i="3" s="1"/>
  <c r="W20" i="3"/>
  <c r="U20" i="3"/>
  <c r="T20" i="3"/>
  <c r="S20" i="3"/>
  <c r="P20" i="3"/>
  <c r="O20" i="3"/>
  <c r="N20" i="3"/>
  <c r="M20" i="3"/>
  <c r="G20" i="3"/>
  <c r="D20" i="3"/>
  <c r="C20" i="3"/>
  <c r="BB19" i="3"/>
  <c r="AX19" i="3"/>
  <c r="AZ19" i="3" s="1"/>
  <c r="AW19" i="3"/>
  <c r="AV19" i="3"/>
  <c r="AT19" i="3"/>
  <c r="AS19" i="3"/>
  <c r="AR19" i="3"/>
  <c r="AQ19" i="3"/>
  <c r="AP19" i="3"/>
  <c r="AO19" i="3"/>
  <c r="AN19" i="3"/>
  <c r="AM19" i="3"/>
  <c r="AI19" i="3"/>
  <c r="AF19" i="3"/>
  <c r="AL19" i="3" s="1"/>
  <c r="W19" i="3"/>
  <c r="U19" i="3"/>
  <c r="T19" i="3"/>
  <c r="S19" i="3"/>
  <c r="P19" i="3"/>
  <c r="O19" i="3"/>
  <c r="N19" i="3"/>
  <c r="M19" i="3"/>
  <c r="G19" i="3"/>
  <c r="D19" i="3"/>
  <c r="C19" i="3"/>
  <c r="BB18" i="3"/>
  <c r="AW18" i="3"/>
  <c r="AV18" i="3"/>
  <c r="AT18" i="3"/>
  <c r="AP18" i="3"/>
  <c r="AO18" i="3"/>
  <c r="AN18" i="3"/>
  <c r="AM18" i="3"/>
  <c r="AI18" i="3"/>
  <c r="AF18" i="3"/>
  <c r="W18" i="3"/>
  <c r="U18" i="3"/>
  <c r="T18" i="3"/>
  <c r="S18" i="3"/>
  <c r="P18" i="3"/>
  <c r="O18" i="3"/>
  <c r="N18" i="3"/>
  <c r="M18" i="3"/>
  <c r="G18" i="3"/>
  <c r="D18" i="3"/>
  <c r="C18" i="3"/>
  <c r="BB17" i="3"/>
  <c r="AW17" i="3"/>
  <c r="AV17" i="3"/>
  <c r="AT17" i="3"/>
  <c r="AR17" i="3"/>
  <c r="AQ17" i="3"/>
  <c r="AP17" i="3"/>
  <c r="AO17" i="3"/>
  <c r="AN17" i="3"/>
  <c r="AM17" i="3"/>
  <c r="AI17" i="3"/>
  <c r="AF17" i="3"/>
  <c r="AL17" i="3" s="1"/>
  <c r="AX17" i="3" s="1"/>
  <c r="W17" i="3"/>
  <c r="U17" i="3"/>
  <c r="T17" i="3"/>
  <c r="S17" i="3"/>
  <c r="AS17" i="3" s="1"/>
  <c r="P17" i="3"/>
  <c r="O17" i="3"/>
  <c r="N17" i="3"/>
  <c r="M17" i="3"/>
  <c r="G17" i="3"/>
  <c r="D17" i="3"/>
  <c r="C17" i="3"/>
  <c r="BB16" i="3"/>
  <c r="AW16" i="3"/>
  <c r="AV16" i="3"/>
  <c r="AT16" i="3"/>
  <c r="AS16" i="3"/>
  <c r="AR16" i="3"/>
  <c r="AP16" i="3"/>
  <c r="AO16" i="3"/>
  <c r="AN16" i="3"/>
  <c r="AM16" i="3"/>
  <c r="AI16" i="3"/>
  <c r="AL16" i="3" s="1"/>
  <c r="AX16" i="3" s="1"/>
  <c r="AF16" i="3"/>
  <c r="W16" i="3"/>
  <c r="U16" i="3"/>
  <c r="T16" i="3"/>
  <c r="S16" i="3"/>
  <c r="AQ16" i="3" s="1"/>
  <c r="P16" i="3"/>
  <c r="O16" i="3"/>
  <c r="N16" i="3"/>
  <c r="M16" i="3"/>
  <c r="G16" i="3"/>
  <c r="D16" i="3"/>
  <c r="C16" i="3"/>
  <c r="BB15" i="3"/>
  <c r="AX15" i="3"/>
  <c r="AT15" i="3"/>
  <c r="AS15" i="3"/>
  <c r="AR15" i="3"/>
  <c r="AP15" i="3"/>
  <c r="AO15" i="3"/>
  <c r="AN15" i="3"/>
  <c r="AM15" i="3"/>
  <c r="AQ15" i="3" s="1"/>
  <c r="AI15" i="3"/>
  <c r="AF15" i="3"/>
  <c r="AL15" i="3" s="1"/>
  <c r="W15" i="3"/>
  <c r="T15" i="3"/>
  <c r="S15" i="3"/>
  <c r="U15" i="3" s="1"/>
  <c r="P15" i="3"/>
  <c r="O15" i="3"/>
  <c r="AV15" i="3" s="1"/>
  <c r="AW15" i="3" s="1"/>
  <c r="N15" i="3"/>
  <c r="M15" i="3"/>
  <c r="G15" i="3"/>
  <c r="D15" i="3"/>
  <c r="C15" i="3"/>
  <c r="BB14" i="3"/>
  <c r="AV14" i="3"/>
  <c r="AW14" i="3" s="1"/>
  <c r="AT14" i="3"/>
  <c r="AQ14" i="3"/>
  <c r="AP14" i="3"/>
  <c r="AO14" i="3"/>
  <c r="AL14" i="3"/>
  <c r="S14" i="3" s="1"/>
  <c r="AI14" i="3"/>
  <c r="AN14" i="3" s="1"/>
  <c r="AF14" i="3"/>
  <c r="AM14" i="3" s="1"/>
  <c r="W14" i="3"/>
  <c r="T14" i="3"/>
  <c r="U14" i="3" s="1"/>
  <c r="P14" i="3"/>
  <c r="O14" i="3"/>
  <c r="N14" i="3"/>
  <c r="M14" i="3"/>
  <c r="G14" i="3"/>
  <c r="D14" i="3"/>
  <c r="C14" i="3"/>
  <c r="BB13" i="3"/>
  <c r="AX13" i="3"/>
  <c r="AV13" i="3"/>
  <c r="AW13" i="3" s="1"/>
  <c r="AT13" i="3"/>
  <c r="AO13" i="3"/>
  <c r="AN13" i="3"/>
  <c r="AL13" i="3"/>
  <c r="AI13" i="3"/>
  <c r="AF13" i="3"/>
  <c r="AM13" i="3" s="1"/>
  <c r="W13" i="3"/>
  <c r="T13" i="3"/>
  <c r="S13" i="3"/>
  <c r="P13" i="3"/>
  <c r="O13" i="3"/>
  <c r="N13" i="3"/>
  <c r="M13" i="3"/>
  <c r="G13" i="3"/>
  <c r="D13" i="3"/>
  <c r="C13" i="3"/>
  <c r="BB12" i="3"/>
  <c r="AV12" i="3"/>
  <c r="AW12" i="3" s="1"/>
  <c r="AT12" i="3"/>
  <c r="AO12" i="3"/>
  <c r="AN12" i="3"/>
  <c r="AM12" i="3"/>
  <c r="AL12" i="3"/>
  <c r="AI12" i="3"/>
  <c r="AF12" i="3"/>
  <c r="W12" i="3"/>
  <c r="T12" i="3"/>
  <c r="P12" i="3"/>
  <c r="O12" i="3"/>
  <c r="N12" i="3"/>
  <c r="M12" i="3"/>
  <c r="G12" i="3"/>
  <c r="D12" i="3"/>
  <c r="C12" i="3"/>
  <c r="AW11" i="3"/>
  <c r="AT11" i="3"/>
  <c r="AO11" i="3"/>
  <c r="AM11" i="3"/>
  <c r="AI11" i="3"/>
  <c r="AF11" i="3"/>
  <c r="W11" i="3"/>
  <c r="T11" i="3"/>
  <c r="P11" i="3"/>
  <c r="O11" i="3"/>
  <c r="AV11" i="3" s="1"/>
  <c r="N11" i="3"/>
  <c r="M11" i="3"/>
  <c r="G11" i="3"/>
  <c r="D11" i="3"/>
  <c r="C11" i="3"/>
  <c r="BB10" i="3"/>
  <c r="AW10" i="3"/>
  <c r="AT10" i="3"/>
  <c r="AO10" i="3"/>
  <c r="AN10" i="3"/>
  <c r="AI10" i="3"/>
  <c r="AF10" i="3"/>
  <c r="AL10" i="3" s="1"/>
  <c r="W10" i="3"/>
  <c r="T10" i="3"/>
  <c r="AX10" i="3" s="1"/>
  <c r="S10" i="3"/>
  <c r="AS10" i="3" s="1"/>
  <c r="P10" i="3"/>
  <c r="O10" i="3"/>
  <c r="AV10" i="3" s="1"/>
  <c r="N10" i="3"/>
  <c r="M10" i="3"/>
  <c r="G10" i="3"/>
  <c r="D10" i="3"/>
  <c r="C10" i="3"/>
  <c r="AT9" i="3"/>
  <c r="AO9" i="3"/>
  <c r="AI9" i="3"/>
  <c r="AN9" i="3" s="1"/>
  <c r="AF9" i="3"/>
  <c r="AM9" i="3" s="1"/>
  <c r="W9" i="3"/>
  <c r="T9" i="3"/>
  <c r="P9" i="3"/>
  <c r="O9" i="3"/>
  <c r="AV9" i="3" s="1"/>
  <c r="AW9" i="3" s="1"/>
  <c r="N9" i="3"/>
  <c r="M9" i="3"/>
  <c r="G9" i="3"/>
  <c r="D9" i="3"/>
  <c r="C9" i="3"/>
  <c r="AV8" i="3"/>
  <c r="AT8" i="3"/>
  <c r="AO8" i="3"/>
  <c r="AI8" i="3"/>
  <c r="AN8" i="3" s="1"/>
  <c r="AF8" i="3"/>
  <c r="AM8" i="3" s="1"/>
  <c r="W8" i="3"/>
  <c r="T8" i="3"/>
  <c r="P8" i="3"/>
  <c r="O8" i="3"/>
  <c r="N8" i="3"/>
  <c r="M8" i="3"/>
  <c r="G8" i="3"/>
  <c r="D8" i="3"/>
  <c r="C8" i="3"/>
  <c r="AT7" i="3"/>
  <c r="AO7" i="3"/>
  <c r="AN7" i="3"/>
  <c r="AI7" i="3"/>
  <c r="AF7" i="3"/>
  <c r="AL7" i="3" s="1"/>
  <c r="W7" i="3"/>
  <c r="T7" i="3"/>
  <c r="P7" i="3"/>
  <c r="O7" i="3"/>
  <c r="AV7" i="3" s="1"/>
  <c r="AW7" i="3" s="1"/>
  <c r="N7" i="3"/>
  <c r="M7" i="3"/>
  <c r="G7" i="3"/>
  <c r="D7" i="3"/>
  <c r="C7" i="3"/>
  <c r="AV6" i="3"/>
  <c r="AW6" i="3" s="1"/>
  <c r="AT6" i="3"/>
  <c r="AO6" i="3"/>
  <c r="AI6" i="3"/>
  <c r="AN6" i="3" s="1"/>
  <c r="AF6" i="3"/>
  <c r="AM6" i="3" s="1"/>
  <c r="W6" i="3"/>
  <c r="T6" i="3"/>
  <c r="P6" i="3"/>
  <c r="O6" i="3"/>
  <c r="N6" i="3"/>
  <c r="M6" i="3"/>
  <c r="G6" i="3"/>
  <c r="D6" i="3"/>
  <c r="C6" i="3"/>
  <c r="AW5" i="3"/>
  <c r="AT5" i="3"/>
  <c r="AO5" i="3"/>
  <c r="AN5" i="3"/>
  <c r="AM5" i="3"/>
  <c r="AQ5" i="3" s="1"/>
  <c r="AI5" i="3"/>
  <c r="AF5" i="3"/>
  <c r="AL5" i="3" s="1"/>
  <c r="S5" i="3" s="1"/>
  <c r="W5" i="3"/>
  <c r="T5" i="3"/>
  <c r="P5" i="3"/>
  <c r="O5" i="3"/>
  <c r="AV5" i="3" s="1"/>
  <c r="N5" i="3"/>
  <c r="M5" i="3"/>
  <c r="G5" i="3"/>
  <c r="D5" i="3"/>
  <c r="C5" i="3"/>
  <c r="BB4" i="3"/>
  <c r="AV4" i="3"/>
  <c r="AW4" i="3" s="1"/>
  <c r="AT4" i="3"/>
  <c r="AQ4" i="3"/>
  <c r="AO4" i="3"/>
  <c r="AS4" i="3" s="1"/>
  <c r="AN4" i="3"/>
  <c r="AM4" i="3"/>
  <c r="AI4" i="3"/>
  <c r="AL4" i="3" s="1"/>
  <c r="AX4" i="3" s="1"/>
  <c r="AF4" i="3"/>
  <c r="W4" i="3"/>
  <c r="T4" i="3"/>
  <c r="U4" i="3" s="1"/>
  <c r="S4" i="3"/>
  <c r="AR4" i="3" s="1"/>
  <c r="P4" i="3"/>
  <c r="O4" i="3"/>
  <c r="N4" i="3"/>
  <c r="M4" i="3"/>
  <c r="G4" i="3"/>
  <c r="D4" i="3"/>
  <c r="C4" i="3"/>
  <c r="BB3" i="3"/>
  <c r="AV3" i="3"/>
  <c r="AT3" i="3"/>
  <c r="AI3" i="3"/>
  <c r="AF3" i="3"/>
  <c r="AL3" i="3" s="1"/>
  <c r="AX3" i="3" s="1"/>
  <c r="AZ3" i="3" s="1"/>
  <c r="W3" i="3"/>
  <c r="T3" i="3"/>
  <c r="U3" i="3" s="1"/>
  <c r="AP3" i="3" s="1"/>
  <c r="S3" i="3"/>
  <c r="P3" i="3"/>
  <c r="O3" i="3"/>
  <c r="N3" i="3"/>
  <c r="M3" i="3"/>
  <c r="G3" i="3"/>
  <c r="D3" i="3"/>
  <c r="C3" i="3"/>
  <c r="BB2" i="3"/>
  <c r="AT2" i="3"/>
  <c r="AO2" i="3"/>
  <c r="AN2" i="3"/>
  <c r="AM2" i="3"/>
  <c r="AI2" i="3"/>
  <c r="AF2" i="3"/>
  <c r="AL2" i="3" s="1"/>
  <c r="AX2" i="3" s="1"/>
  <c r="W2" i="3"/>
  <c r="T2" i="3"/>
  <c r="S2" i="3"/>
  <c r="P2" i="3"/>
  <c r="O2" i="3"/>
  <c r="AV2" i="3" s="1"/>
  <c r="AW2" i="3" s="1"/>
  <c r="N2" i="3"/>
  <c r="M2" i="3"/>
  <c r="G2" i="3"/>
  <c r="D2" i="3"/>
  <c r="C2" i="3"/>
  <c r="K17" i="1"/>
  <c r="I14" i="1"/>
  <c r="D14" i="1"/>
  <c r="D12" i="1"/>
  <c r="D11" i="1"/>
  <c r="I10" i="1"/>
  <c r="D10" i="1"/>
  <c r="K15" i="10" s="1"/>
  <c r="D9" i="1"/>
  <c r="AZ38" i="3" l="1"/>
  <c r="AY38" i="3"/>
  <c r="BA38" i="3" s="1"/>
  <c r="AY156" i="3"/>
  <c r="BA156" i="3" s="1"/>
  <c r="AZ156" i="3"/>
  <c r="AZ161" i="3"/>
  <c r="AY161" i="3"/>
  <c r="BA161" i="3" s="1"/>
  <c r="AY142" i="3"/>
  <c r="BA142" i="3" s="1"/>
  <c r="AZ142" i="3"/>
  <c r="AZ199" i="3"/>
  <c r="AY199" i="3"/>
  <c r="BA199" i="3" s="1"/>
  <c r="AY2" i="3"/>
  <c r="C72" i="9"/>
  <c r="AZ2" i="3"/>
  <c r="AZ106" i="3"/>
  <c r="AY106" i="3"/>
  <c r="BA106" i="3" s="1"/>
  <c r="AZ108" i="3"/>
  <c r="AY108" i="3"/>
  <c r="BA108" i="3" s="1"/>
  <c r="AZ28" i="3"/>
  <c r="AY28" i="3"/>
  <c r="BA28" i="3" s="1"/>
  <c r="AZ27" i="3"/>
  <c r="AY27" i="3"/>
  <c r="BA27" i="3" s="1"/>
  <c r="AZ61" i="3"/>
  <c r="AY61" i="3"/>
  <c r="BA61" i="3" s="1"/>
  <c r="AZ60" i="3"/>
  <c r="AY60" i="3"/>
  <c r="BA60" i="3" s="1"/>
  <c r="AY149" i="3"/>
  <c r="BA149" i="3" s="1"/>
  <c r="AZ149" i="3"/>
  <c r="AY67" i="3"/>
  <c r="BA67" i="3" s="1"/>
  <c r="AZ67" i="3"/>
  <c r="AY45" i="3"/>
  <c r="BA45" i="3" s="1"/>
  <c r="AZ45" i="3"/>
  <c r="AY97" i="3"/>
  <c r="BA97" i="3" s="1"/>
  <c r="AZ97" i="3"/>
  <c r="AZ131" i="3"/>
  <c r="AY131" i="3"/>
  <c r="BA131" i="3" s="1"/>
  <c r="AP4" i="3"/>
  <c r="J34" i="9" s="1"/>
  <c r="AZ49" i="3"/>
  <c r="AY49" i="3"/>
  <c r="BA49" i="3" s="1"/>
  <c r="AY153" i="3"/>
  <c r="BA153" i="3" s="1"/>
  <c r="AZ153" i="3"/>
  <c r="AZ189" i="3"/>
  <c r="AY189" i="3"/>
  <c r="BA189" i="3" s="1"/>
  <c r="AZ83" i="3"/>
  <c r="AY83" i="3"/>
  <c r="BA83" i="3" s="1"/>
  <c r="AZ139" i="3"/>
  <c r="AY139" i="3"/>
  <c r="BA139" i="3" s="1"/>
  <c r="AZ4" i="3"/>
  <c r="AY4" i="3"/>
  <c r="BA4" i="3" s="1"/>
  <c r="AZ52" i="3"/>
  <c r="AY52" i="3"/>
  <c r="BA52" i="3" s="1"/>
  <c r="AZ70" i="3"/>
  <c r="AY70" i="3"/>
  <c r="BA70" i="3" s="1"/>
  <c r="AZ102" i="3"/>
  <c r="AY102" i="3"/>
  <c r="BA102" i="3" s="1"/>
  <c r="AZ192" i="3"/>
  <c r="AY192" i="3"/>
  <c r="BA192" i="3" s="1"/>
  <c r="AZ116" i="3"/>
  <c r="AY116" i="3"/>
  <c r="BA116" i="3" s="1"/>
  <c r="AY208" i="3"/>
  <c r="BA208" i="3" s="1"/>
  <c r="AZ208" i="3"/>
  <c r="AY21" i="3"/>
  <c r="BA21" i="3" s="1"/>
  <c r="AZ21" i="3"/>
  <c r="AZ76" i="3"/>
  <c r="AY76" i="3"/>
  <c r="BA76" i="3" s="1"/>
  <c r="AY90" i="3"/>
  <c r="BA90" i="3" s="1"/>
  <c r="AZ90" i="3"/>
  <c r="AY120" i="3"/>
  <c r="BA120" i="3" s="1"/>
  <c r="AZ120" i="3"/>
  <c r="AZ145" i="3"/>
  <c r="AY145" i="3"/>
  <c r="BA145" i="3" s="1"/>
  <c r="AZ197" i="3"/>
  <c r="AY197" i="3"/>
  <c r="BA197" i="3" s="1"/>
  <c r="AZ235" i="3"/>
  <c r="AY235" i="3"/>
  <c r="BA235" i="3" s="1"/>
  <c r="AY215" i="3"/>
  <c r="BA215" i="3" s="1"/>
  <c r="AZ215" i="3"/>
  <c r="AY23" i="3"/>
  <c r="BA23" i="3" s="1"/>
  <c r="AZ23" i="3"/>
  <c r="AY30" i="3"/>
  <c r="BA30" i="3" s="1"/>
  <c r="AZ30" i="3"/>
  <c r="AY46" i="3"/>
  <c r="BA46" i="3" s="1"/>
  <c r="AZ46" i="3"/>
  <c r="AZ16" i="3"/>
  <c r="AY16" i="3"/>
  <c r="BA16" i="3" s="1"/>
  <c r="AY222" i="3"/>
  <c r="BA222" i="3" s="1"/>
  <c r="AZ222" i="3"/>
  <c r="AY26" i="3"/>
  <c r="BA26" i="3" s="1"/>
  <c r="AZ26" i="3"/>
  <c r="AZ178" i="3"/>
  <c r="H34" i="9"/>
  <c r="AQ62" i="3"/>
  <c r="AZ82" i="3"/>
  <c r="AY82" i="3"/>
  <c r="BA82" i="3" s="1"/>
  <c r="AQ132" i="3"/>
  <c r="AR175" i="3"/>
  <c r="AQ175" i="3"/>
  <c r="AS175" i="3"/>
  <c r="K34" i="9"/>
  <c r="AS109" i="3"/>
  <c r="AQ109" i="3"/>
  <c r="AR109" i="3"/>
  <c r="AY191" i="3"/>
  <c r="BA191" i="3" s="1"/>
  <c r="AZ191" i="3"/>
  <c r="AS193" i="3"/>
  <c r="AR193" i="3"/>
  <c r="AQ193" i="3"/>
  <c r="AS194" i="3"/>
  <c r="AQ194" i="3"/>
  <c r="AR194" i="3"/>
  <c r="AZ240" i="3"/>
  <c r="AY240" i="3"/>
  <c r="BA240" i="3" s="1"/>
  <c r="AY19" i="3"/>
  <c r="BA19" i="3" s="1"/>
  <c r="AZ50" i="3"/>
  <c r="AY50" i="3"/>
  <c r="BA50" i="3" s="1"/>
  <c r="AY78" i="3"/>
  <c r="BA78" i="3" s="1"/>
  <c r="AZ78" i="3"/>
  <c r="AY114" i="3"/>
  <c r="BA114" i="3" s="1"/>
  <c r="AZ114" i="3"/>
  <c r="AZ117" i="3"/>
  <c r="AY117" i="3"/>
  <c r="BA117" i="3" s="1"/>
  <c r="AY128" i="3"/>
  <c r="BA128" i="3" s="1"/>
  <c r="AZ128" i="3"/>
  <c r="AQ166" i="3"/>
  <c r="AR166" i="3"/>
  <c r="AS166" i="3"/>
  <c r="AR168" i="3"/>
  <c r="AQ168" i="3"/>
  <c r="AZ211" i="3"/>
  <c r="AY211" i="3"/>
  <c r="BA211" i="3" s="1"/>
  <c r="AY51" i="3"/>
  <c r="BA51" i="3" s="1"/>
  <c r="AZ51" i="3"/>
  <c r="AZ216" i="3"/>
  <c r="AY216" i="3"/>
  <c r="BA216" i="3" s="1"/>
  <c r="AZ249" i="3"/>
  <c r="AY249" i="3"/>
  <c r="BA249" i="3" s="1"/>
  <c r="AQ68" i="3"/>
  <c r="AZ85" i="3"/>
  <c r="AQ91" i="3"/>
  <c r="AR91" i="3"/>
  <c r="AS91" i="3"/>
  <c r="AY140" i="3"/>
  <c r="BA140" i="3" s="1"/>
  <c r="AR145" i="3"/>
  <c r="AQ145" i="3"/>
  <c r="AS145" i="3"/>
  <c r="AZ152" i="3"/>
  <c r="AY152" i="3"/>
  <c r="BA152" i="3" s="1"/>
  <c r="AZ36" i="3"/>
  <c r="AY36" i="3"/>
  <c r="BA36" i="3" s="1"/>
  <c r="AZ42" i="3"/>
  <c r="AR57" i="3"/>
  <c r="AQ57" i="3"/>
  <c r="AZ127" i="3"/>
  <c r="AS157" i="3"/>
  <c r="AR157" i="3"/>
  <c r="AS172" i="3"/>
  <c r="AQ172" i="3"/>
  <c r="AR172" i="3"/>
  <c r="AZ233" i="3"/>
  <c r="AY233" i="3"/>
  <c r="BA233" i="3" s="1"/>
  <c r="AY13" i="3"/>
  <c r="AZ13" i="3" s="1"/>
  <c r="AZ34" i="3"/>
  <c r="AY34" i="3"/>
  <c r="BA34" i="3" s="1"/>
  <c r="AZ56" i="3"/>
  <c r="AY56" i="3"/>
  <c r="BA56" i="3" s="1"/>
  <c r="AR62" i="3"/>
  <c r="AZ64" i="3"/>
  <c r="AY64" i="3"/>
  <c r="BA64" i="3" s="1"/>
  <c r="AQ72" i="3"/>
  <c r="AY88" i="3"/>
  <c r="BA88" i="3" s="1"/>
  <c r="AL113" i="3"/>
  <c r="AX113" i="3" s="1"/>
  <c r="AZ123" i="3"/>
  <c r="AY123" i="3"/>
  <c r="BA123" i="3" s="1"/>
  <c r="AR132" i="3"/>
  <c r="AY136" i="3"/>
  <c r="BA136" i="3" s="1"/>
  <c r="AZ136" i="3"/>
  <c r="AR140" i="3"/>
  <c r="AS140" i="3"/>
  <c r="AQ140" i="3"/>
  <c r="AR144" i="3"/>
  <c r="AZ155" i="3"/>
  <c r="AY155" i="3"/>
  <c r="BA155" i="3" s="1"/>
  <c r="B19" i="1"/>
  <c r="K22" i="9"/>
  <c r="B30" i="1"/>
  <c r="B31" i="1"/>
  <c r="B23" i="1"/>
  <c r="I26" i="9"/>
  <c r="G26" i="9"/>
  <c r="H26" i="9"/>
  <c r="AZ65" i="3"/>
  <c r="AY65" i="3"/>
  <c r="BA65" i="3" s="1"/>
  <c r="AZ80" i="3"/>
  <c r="AY80" i="3"/>
  <c r="BA80" i="3" s="1"/>
  <c r="AY100" i="3"/>
  <c r="BA100" i="3" s="1"/>
  <c r="AY119" i="3"/>
  <c r="BA119" i="3" s="1"/>
  <c r="AY171" i="3"/>
  <c r="BA171" i="3" s="1"/>
  <c r="AZ171" i="3"/>
  <c r="AY172" i="3"/>
  <c r="BA172" i="3" s="1"/>
  <c r="AZ172" i="3"/>
  <c r="AZ174" i="3"/>
  <c r="AY174" i="3"/>
  <c r="BA174" i="3" s="1"/>
  <c r="C71" i="9"/>
  <c r="B28" i="1"/>
  <c r="AL9" i="3"/>
  <c r="AZ66" i="3"/>
  <c r="AY66" i="3"/>
  <c r="BA66" i="3" s="1"/>
  <c r="AY71" i="3"/>
  <c r="BA71" i="3" s="1"/>
  <c r="AZ109" i="3"/>
  <c r="AY195" i="3"/>
  <c r="BA195" i="3" s="1"/>
  <c r="AZ195" i="3"/>
  <c r="AZ217" i="3"/>
  <c r="AY229" i="3"/>
  <c r="BA229" i="3" s="1"/>
  <c r="AY25" i="3"/>
  <c r="BA25" i="3" s="1"/>
  <c r="AZ148" i="3"/>
  <c r="AY148" i="3"/>
  <c r="BA148" i="3" s="1"/>
  <c r="AZ159" i="3"/>
  <c r="AY159" i="3"/>
  <c r="BA159" i="3" s="1"/>
  <c r="AQ223" i="3"/>
  <c r="AS223" i="3"/>
  <c r="AR223" i="3"/>
  <c r="AS224" i="3"/>
  <c r="AQ224" i="3"/>
  <c r="AR224" i="3"/>
  <c r="AZ244" i="3"/>
  <c r="AY244" i="3"/>
  <c r="BA244" i="3" s="1"/>
  <c r="AZ54" i="3"/>
  <c r="AY54" i="3"/>
  <c r="BA54" i="3" s="1"/>
  <c r="AZ95" i="3"/>
  <c r="AY95" i="3"/>
  <c r="BA95" i="3" s="1"/>
  <c r="AY158" i="3"/>
  <c r="BA158" i="3" s="1"/>
  <c r="AZ158" i="3"/>
  <c r="AZ250" i="3"/>
  <c r="AY250" i="3"/>
  <c r="BA250" i="3" s="1"/>
  <c r="BB7" i="3"/>
  <c r="AX7" i="3"/>
  <c r="S7" i="3"/>
  <c r="AY81" i="3"/>
  <c r="BA81" i="3" s="1"/>
  <c r="AR117" i="3"/>
  <c r="AS117" i="3"/>
  <c r="AQ117" i="3"/>
  <c r="AQ129" i="3"/>
  <c r="AS129" i="3"/>
  <c r="AR129" i="3"/>
  <c r="AZ190" i="3"/>
  <c r="AY190" i="3"/>
  <c r="BA190" i="3" s="1"/>
  <c r="AR226" i="3"/>
  <c r="AQ226" i="3"/>
  <c r="AS226" i="3"/>
  <c r="AL8" i="3"/>
  <c r="AL40" i="3"/>
  <c r="AX40" i="3" s="1"/>
  <c r="AS42" i="3"/>
  <c r="AR42" i="3"/>
  <c r="AQ42" i="3"/>
  <c r="AZ55" i="3"/>
  <c r="AY55" i="3"/>
  <c r="BA55" i="3" s="1"/>
  <c r="AZ63" i="3"/>
  <c r="AY96" i="3"/>
  <c r="BA96" i="3" s="1"/>
  <c r="AZ96" i="3"/>
  <c r="AZ134" i="3"/>
  <c r="AY213" i="3"/>
  <c r="BA213" i="3" s="1"/>
  <c r="AZ213" i="3"/>
  <c r="AZ221" i="3"/>
  <c r="AY221" i="3"/>
  <c r="BA221" i="3" s="1"/>
  <c r="AZ245" i="3"/>
  <c r="Q11" i="10"/>
  <c r="AR50" i="3"/>
  <c r="AQ50" i="3"/>
  <c r="AY91" i="3"/>
  <c r="BA91" i="3" s="1"/>
  <c r="AZ91" i="3"/>
  <c r="AY200" i="3"/>
  <c r="BA200" i="3" s="1"/>
  <c r="AZ200" i="3"/>
  <c r="Q4" i="12"/>
  <c r="E55" i="12"/>
  <c r="AR32" i="3"/>
  <c r="AQ32" i="3"/>
  <c r="AS32" i="3"/>
  <c r="AS5" i="3"/>
  <c r="U5" i="3"/>
  <c r="AP5" i="3" s="1"/>
  <c r="AR5" i="3"/>
  <c r="AM7" i="3"/>
  <c r="AR23" i="3"/>
  <c r="AQ23" i="3"/>
  <c r="AS57" i="3"/>
  <c r="AR131" i="3"/>
  <c r="AQ131" i="3"/>
  <c r="AS131" i="3"/>
  <c r="AQ157" i="3"/>
  <c r="AO3" i="3"/>
  <c r="I33" i="9" s="1"/>
  <c r="AS3" i="3"/>
  <c r="AR3" i="3"/>
  <c r="AM3" i="3"/>
  <c r="J8" i="9" s="1"/>
  <c r="AN3" i="3"/>
  <c r="AL6" i="3"/>
  <c r="AZ33" i="3"/>
  <c r="AY33" i="3"/>
  <c r="BA33" i="3" s="1"/>
  <c r="AQ60" i="3"/>
  <c r="AR60" i="3"/>
  <c r="AS60" i="3"/>
  <c r="AS61" i="3"/>
  <c r="AQ61" i="3"/>
  <c r="AR61" i="3"/>
  <c r="AQ80" i="3"/>
  <c r="AS80" i="3"/>
  <c r="AZ112" i="3"/>
  <c r="AZ126" i="3"/>
  <c r="AY126" i="3"/>
  <c r="BA126" i="3" s="1"/>
  <c r="AY135" i="3"/>
  <c r="BA135" i="3" s="1"/>
  <c r="AZ135" i="3"/>
  <c r="AR153" i="3"/>
  <c r="AQ153" i="3"/>
  <c r="AS153" i="3"/>
  <c r="AZ22" i="3"/>
  <c r="AY22" i="3"/>
  <c r="BA22" i="3" s="1"/>
  <c r="AZ20" i="3"/>
  <c r="AS18" i="3"/>
  <c r="AQ18" i="3"/>
  <c r="AR18" i="3"/>
  <c r="AY24" i="3"/>
  <c r="BA24" i="3" s="1"/>
  <c r="AZ24" i="3"/>
  <c r="AY39" i="3"/>
  <c r="BA39" i="3" s="1"/>
  <c r="AQ107" i="3"/>
  <c r="AZ125" i="3"/>
  <c r="AY125" i="3"/>
  <c r="BA125" i="3" s="1"/>
  <c r="AY164" i="3"/>
  <c r="BA164" i="3" s="1"/>
  <c r="AZ164" i="3"/>
  <c r="AY143" i="3"/>
  <c r="BA143" i="3" s="1"/>
  <c r="AZ143" i="3"/>
  <c r="AZ183" i="3"/>
  <c r="AY183" i="3"/>
  <c r="BA183" i="3" s="1"/>
  <c r="AS233" i="3"/>
  <c r="AQ233" i="3"/>
  <c r="AR233" i="3"/>
  <c r="AS27" i="3"/>
  <c r="AR27" i="3"/>
  <c r="AQ27" i="3"/>
  <c r="AR28" i="3"/>
  <c r="AQ28" i="3"/>
  <c r="AS28" i="3"/>
  <c r="AR45" i="3"/>
  <c r="AS45" i="3"/>
  <c r="AQ45" i="3"/>
  <c r="AS50" i="3"/>
  <c r="AZ72" i="3"/>
  <c r="AY72" i="3"/>
  <c r="BA72" i="3" s="1"/>
  <c r="AR107" i="3"/>
  <c r="AY150" i="3"/>
  <c r="BA150" i="3" s="1"/>
  <c r="AZ206" i="3"/>
  <c r="AY206" i="3"/>
  <c r="BA206" i="3" s="1"/>
  <c r="AY3" i="3"/>
  <c r="BA3" i="3" s="1"/>
  <c r="AX5" i="3"/>
  <c r="AY10" i="3"/>
  <c r="AZ10" i="3" s="1"/>
  <c r="AQ47" i="3"/>
  <c r="AS47" i="3"/>
  <c r="AR47" i="3"/>
  <c r="AZ73" i="3"/>
  <c r="AY73" i="3"/>
  <c r="BA73" i="3" s="1"/>
  <c r="U10" i="3"/>
  <c r="AP10" i="3" s="1"/>
  <c r="AZ17" i="3"/>
  <c r="AY17" i="3"/>
  <c r="BA17" i="3" s="1"/>
  <c r="AS23" i="3"/>
  <c r="AZ58" i="3"/>
  <c r="AS136" i="3"/>
  <c r="AQ136" i="3"/>
  <c r="AZ207" i="3"/>
  <c r="AY207" i="3"/>
  <c r="BA207" i="3" s="1"/>
  <c r="AS209" i="3"/>
  <c r="AR209" i="3"/>
  <c r="AQ209" i="3"/>
  <c r="AZ234" i="3"/>
  <c r="AY234" i="3"/>
  <c r="BA234" i="3" s="1"/>
  <c r="AZ84" i="3"/>
  <c r="AY84" i="3"/>
  <c r="BA84" i="3" s="1"/>
  <c r="AS96" i="3"/>
  <c r="AR96" i="3"/>
  <c r="AQ96" i="3"/>
  <c r="AZ138" i="3"/>
  <c r="AY138" i="3"/>
  <c r="BA138" i="3" s="1"/>
  <c r="AY170" i="3"/>
  <c r="BA170" i="3" s="1"/>
  <c r="AZ170" i="3"/>
  <c r="AZ205" i="3"/>
  <c r="AY205" i="3"/>
  <c r="BA205" i="3" s="1"/>
  <c r="AY31" i="3"/>
  <c r="BA31" i="3" s="1"/>
  <c r="AZ31" i="3"/>
  <c r="AZ32" i="3"/>
  <c r="AY32" i="3"/>
  <c r="BA32" i="3" s="1"/>
  <c r="A10" i="12"/>
  <c r="G57" i="12"/>
  <c r="J46" i="10"/>
  <c r="AY57" i="3"/>
  <c r="BA57" i="3" s="1"/>
  <c r="AZ130" i="3"/>
  <c r="AY130" i="3"/>
  <c r="BA130" i="3" s="1"/>
  <c r="AZ89" i="3"/>
  <c r="AY89" i="3"/>
  <c r="BA89" i="3" s="1"/>
  <c r="D13" i="1"/>
  <c r="AR68" i="3"/>
  <c r="AY94" i="3"/>
  <c r="BA94" i="3" s="1"/>
  <c r="AY165" i="3"/>
  <c r="BA165" i="3" s="1"/>
  <c r="AZ165" i="3"/>
  <c r="AY238" i="3"/>
  <c r="BA238" i="3" s="1"/>
  <c r="AZ243" i="3"/>
  <c r="AY243" i="3"/>
  <c r="BA243" i="3" s="1"/>
  <c r="AY166" i="3"/>
  <c r="BA166" i="3" s="1"/>
  <c r="AZ166" i="3"/>
  <c r="J26" i="9"/>
  <c r="AW3" i="3"/>
  <c r="AL11" i="3"/>
  <c r="AN11" i="3"/>
  <c r="H30" i="9" s="1"/>
  <c r="AZ101" i="3"/>
  <c r="AY101" i="3"/>
  <c r="BA101" i="3" s="1"/>
  <c r="AZ182" i="3"/>
  <c r="AY182" i="3"/>
  <c r="BA182" i="3" s="1"/>
  <c r="AY203" i="3"/>
  <c r="BA203" i="3" s="1"/>
  <c r="AY223" i="3"/>
  <c r="BA223" i="3" s="1"/>
  <c r="AZ223" i="3"/>
  <c r="AY224" i="3"/>
  <c r="BA224" i="3" s="1"/>
  <c r="AZ224" i="3"/>
  <c r="B22" i="1"/>
  <c r="BB5" i="3"/>
  <c r="AX14" i="3"/>
  <c r="AL18" i="3"/>
  <c r="AX18" i="3" s="1"/>
  <c r="AQ38" i="3"/>
  <c r="AR38" i="3"/>
  <c r="AZ44" i="3"/>
  <c r="AY44" i="3"/>
  <c r="BA44" i="3" s="1"/>
  <c r="AS66" i="3"/>
  <c r="AR66" i="3"/>
  <c r="AQ66" i="3"/>
  <c r="AR83" i="3"/>
  <c r="AS83" i="3"/>
  <c r="AQ83" i="3"/>
  <c r="AL103" i="3"/>
  <c r="AX103" i="3" s="1"/>
  <c r="AL122" i="3"/>
  <c r="AX122" i="3" s="1"/>
  <c r="AR173" i="3"/>
  <c r="AQ173" i="3"/>
  <c r="AS173" i="3"/>
  <c r="AQ210" i="3"/>
  <c r="AS210" i="3"/>
  <c r="AR210" i="3"/>
  <c r="AY230" i="3"/>
  <c r="BA230" i="3" s="1"/>
  <c r="AZ230" i="3"/>
  <c r="G31" i="9"/>
  <c r="AZ196" i="3"/>
  <c r="AY196" i="3"/>
  <c r="BA196" i="3" s="1"/>
  <c r="AQ113" i="3"/>
  <c r="AS113" i="3"/>
  <c r="AR113" i="3"/>
  <c r="AR55" i="3"/>
  <c r="AQ55" i="3"/>
  <c r="AL69" i="3"/>
  <c r="AX69" i="3" s="1"/>
  <c r="AS71" i="3"/>
  <c r="AR71" i="3"/>
  <c r="AQ71" i="3"/>
  <c r="AL99" i="3"/>
  <c r="AX99" i="3" s="1"/>
  <c r="AS114" i="3"/>
  <c r="AQ114" i="3"/>
  <c r="AS150" i="3"/>
  <c r="AQ150" i="3"/>
  <c r="AQ240" i="3"/>
  <c r="AS240" i="3"/>
  <c r="AR240" i="3"/>
  <c r="AY29" i="3"/>
  <c r="BA29" i="3" s="1"/>
  <c r="AZ29" i="3"/>
  <c r="AS149" i="3"/>
  <c r="AR149" i="3"/>
  <c r="AQ149" i="3"/>
  <c r="AZ111" i="3"/>
  <c r="AY111" i="3"/>
  <c r="BA111" i="3" s="1"/>
  <c r="AS127" i="3"/>
  <c r="AR127" i="3"/>
  <c r="AQ127" i="3"/>
  <c r="AS128" i="3"/>
  <c r="AQ128" i="3"/>
  <c r="AR128" i="3"/>
  <c r="AQ171" i="3"/>
  <c r="AS171" i="3"/>
  <c r="AL188" i="3"/>
  <c r="AX188" i="3" s="1"/>
  <c r="AZ212" i="3"/>
  <c r="AY212" i="3"/>
  <c r="BA212" i="3" s="1"/>
  <c r="AR33" i="3"/>
  <c r="AQ33" i="3"/>
  <c r="AQ123" i="3"/>
  <c r="AS123" i="3"/>
  <c r="AZ214" i="3"/>
  <c r="AY214" i="3"/>
  <c r="BA214" i="3" s="1"/>
  <c r="AS234" i="3"/>
  <c r="AR234" i="3"/>
  <c r="AQ234" i="3"/>
  <c r="J43" i="10"/>
  <c r="A49" i="1"/>
  <c r="AR2" i="3"/>
  <c r="AQ2" i="3"/>
  <c r="U2" i="3"/>
  <c r="K33" i="9" s="1"/>
  <c r="AY15" i="3"/>
  <c r="AL41" i="3"/>
  <c r="AX41" i="3" s="1"/>
  <c r="AS46" i="3"/>
  <c r="AR46" i="3"/>
  <c r="AQ46" i="3"/>
  <c r="AZ75" i="3"/>
  <c r="AY75" i="3"/>
  <c r="BA75" i="3" s="1"/>
  <c r="AS167" i="3"/>
  <c r="AR167" i="3"/>
  <c r="AQ167" i="3"/>
  <c r="AZ204" i="3"/>
  <c r="AY204" i="3"/>
  <c r="BA204" i="3" s="1"/>
  <c r="AZ218" i="3"/>
  <c r="AY218" i="3"/>
  <c r="BA218" i="3" s="1"/>
  <c r="AL232" i="3"/>
  <c r="AX232" i="3" s="1"/>
  <c r="AY179" i="3"/>
  <c r="BA179" i="3" s="1"/>
  <c r="AZ179" i="3"/>
  <c r="AR195" i="3"/>
  <c r="AQ195" i="3"/>
  <c r="AZ160" i="3"/>
  <c r="AY160" i="3"/>
  <c r="BA160" i="3" s="1"/>
  <c r="B24" i="9"/>
  <c r="G4" i="9"/>
  <c r="AS98" i="3"/>
  <c r="AR98" i="3"/>
  <c r="AS2" i="3"/>
  <c r="AR10" i="3"/>
  <c r="AX12" i="3"/>
  <c r="S12" i="3"/>
  <c r="AS33" i="3"/>
  <c r="AQ37" i="3"/>
  <c r="AZ59" i="3"/>
  <c r="AZ124" i="3"/>
  <c r="AY124" i="3"/>
  <c r="BA124" i="3" s="1"/>
  <c r="AZ176" i="3"/>
  <c r="AY176" i="3"/>
  <c r="BA176" i="3" s="1"/>
  <c r="AZ181" i="3"/>
  <c r="AY193" i="3"/>
  <c r="BA193" i="3" s="1"/>
  <c r="AZ193" i="3"/>
  <c r="AY236" i="3"/>
  <c r="BA236" i="3" s="1"/>
  <c r="AZ236" i="3"/>
  <c r="AQ211" i="3"/>
  <c r="AS211" i="3"/>
  <c r="AR211" i="3"/>
  <c r="AS13" i="3"/>
  <c r="AQ13" i="3"/>
  <c r="AR13" i="3"/>
  <c r="U13" i="3"/>
  <c r="AP13" i="3" s="1"/>
  <c r="J22" i="9" s="1"/>
  <c r="AS24" i="3"/>
  <c r="AQ24" i="3"/>
  <c r="AR24" i="3"/>
  <c r="AS178" i="3"/>
  <c r="AR178" i="3"/>
  <c r="AQ178" i="3"/>
  <c r="AZ180" i="3"/>
  <c r="AR228" i="3"/>
  <c r="AS228" i="3"/>
  <c r="AQ228" i="3"/>
  <c r="AR37" i="3"/>
  <c r="AL62" i="3"/>
  <c r="AX62" i="3" s="1"/>
  <c r="AQ84" i="3"/>
  <c r="AQ87" i="3"/>
  <c r="AS87" i="3"/>
  <c r="AR99" i="3"/>
  <c r="AQ99" i="3"/>
  <c r="AY107" i="3"/>
  <c r="BA107" i="3" s="1"/>
  <c r="AZ107" i="3"/>
  <c r="AR123" i="3"/>
  <c r="AS187" i="3"/>
  <c r="AR187" i="3"/>
  <c r="AQ187" i="3"/>
  <c r="AR201" i="3"/>
  <c r="AW8" i="3"/>
  <c r="AS14" i="3"/>
  <c r="AR14" i="3"/>
  <c r="AQ51" i="3"/>
  <c r="AR84" i="3"/>
  <c r="AL110" i="3"/>
  <c r="AX110" i="3" s="1"/>
  <c r="AS112" i="3"/>
  <c r="AR112" i="3"/>
  <c r="AQ112" i="3"/>
  <c r="AQ146" i="3"/>
  <c r="AY157" i="3"/>
  <c r="BA157" i="3" s="1"/>
  <c r="AZ157" i="3"/>
  <c r="AZ173" i="3"/>
  <c r="AS201" i="3"/>
  <c r="AY246" i="3"/>
  <c r="BA246" i="3" s="1"/>
  <c r="AZ246" i="3"/>
  <c r="AS246" i="3"/>
  <c r="AQ246" i="3"/>
  <c r="AQ247" i="3"/>
  <c r="AS247" i="3"/>
  <c r="AY79" i="3"/>
  <c r="BA79" i="3" s="1"/>
  <c r="AZ79" i="3"/>
  <c r="AR54" i="3"/>
  <c r="AQ54" i="3"/>
  <c r="AS70" i="3"/>
  <c r="AQ70" i="3"/>
  <c r="AL98" i="3"/>
  <c r="AX98" i="3" s="1"/>
  <c r="AS134" i="3"/>
  <c r="AR134" i="3"/>
  <c r="AQ134" i="3"/>
  <c r="AZ177" i="3"/>
  <c r="AY177" i="3"/>
  <c r="BA177" i="3" s="1"/>
  <c r="AS189" i="3"/>
  <c r="AR189" i="3"/>
  <c r="AQ189" i="3"/>
  <c r="AZ227" i="3"/>
  <c r="AY227" i="3"/>
  <c r="BA227" i="3" s="1"/>
  <c r="AY228" i="3"/>
  <c r="BA228" i="3" s="1"/>
  <c r="AZ228" i="3"/>
  <c r="AS106" i="3"/>
  <c r="AQ106" i="3"/>
  <c r="AR182" i="3"/>
  <c r="AQ182" i="3"/>
  <c r="AQ232" i="3"/>
  <c r="AS232" i="3"/>
  <c r="AR232" i="3"/>
  <c r="Q15" i="10"/>
  <c r="C62" i="9"/>
  <c r="G29" i="9"/>
  <c r="G22" i="9"/>
  <c r="B62" i="9"/>
  <c r="Q12" i="11" s="1"/>
  <c r="H33" i="9"/>
  <c r="G33" i="9"/>
  <c r="K32" i="9"/>
  <c r="I28" i="9"/>
  <c r="C61" i="9"/>
  <c r="J32" i="9"/>
  <c r="H28" i="9"/>
  <c r="I24" i="9"/>
  <c r="B61" i="9"/>
  <c r="Q11" i="11" s="1"/>
  <c r="I32" i="9"/>
  <c r="G28" i="9"/>
  <c r="H24" i="9"/>
  <c r="H32" i="9"/>
  <c r="K27" i="9"/>
  <c r="G24" i="9"/>
  <c r="Q12" i="10"/>
  <c r="C74" i="9"/>
  <c r="G32" i="9"/>
  <c r="J27" i="9"/>
  <c r="C73" i="9"/>
  <c r="K35" i="9"/>
  <c r="I31" i="9"/>
  <c r="K23" i="9"/>
  <c r="J35" i="9"/>
  <c r="H31" i="9"/>
  <c r="K26" i="9"/>
  <c r="J23" i="9"/>
  <c r="C65" i="9"/>
  <c r="I34" i="9"/>
  <c r="G30" i="9"/>
  <c r="C70" i="9"/>
  <c r="G34" i="9"/>
  <c r="H25" i="9"/>
  <c r="I29" i="9"/>
  <c r="G25" i="9"/>
  <c r="I22" i="9"/>
  <c r="Q16" i="10"/>
  <c r="H29" i="9"/>
  <c r="H22" i="9"/>
  <c r="Q24" i="10"/>
  <c r="C66" i="9"/>
  <c r="Q23" i="10"/>
  <c r="I27" i="9"/>
  <c r="Q22" i="10"/>
  <c r="H27" i="9"/>
  <c r="H35" i="9"/>
  <c r="G35" i="9"/>
  <c r="AR65" i="3"/>
  <c r="AQ65" i="3"/>
  <c r="AL231" i="3"/>
  <c r="AX231" i="3" s="1"/>
  <c r="AS245" i="3"/>
  <c r="AR245" i="3"/>
  <c r="Q3" i="12"/>
  <c r="C24" i="6"/>
  <c r="C55" i="12"/>
  <c r="I25" i="9"/>
  <c r="AZ198" i="3"/>
  <c r="AY198" i="3"/>
  <c r="BA198" i="3" s="1"/>
  <c r="AR241" i="3"/>
  <c r="AQ241" i="3"/>
  <c r="I30" i="9"/>
  <c r="AS30" i="3"/>
  <c r="AS52" i="3"/>
  <c r="AR95" i="3"/>
  <c r="AQ95" i="3"/>
  <c r="AR118" i="3"/>
  <c r="AQ118" i="3"/>
  <c r="AS182" i="3"/>
  <c r="AS200" i="3"/>
  <c r="AR200" i="3"/>
  <c r="AS216" i="3"/>
  <c r="AQ216" i="3"/>
  <c r="I35" i="9"/>
  <c r="Q21" i="10"/>
  <c r="AQ78" i="3"/>
  <c r="AR78" i="3"/>
  <c r="AQ130" i="3"/>
  <c r="AR130" i="3"/>
  <c r="AS158" i="3"/>
  <c r="AQ158" i="3"/>
  <c r="AR158" i="3"/>
  <c r="AS180" i="3"/>
  <c r="AQ180" i="3"/>
  <c r="G23" i="9"/>
  <c r="AS92" i="3"/>
  <c r="AQ92" i="3"/>
  <c r="AS237" i="3"/>
  <c r="AQ237" i="3"/>
  <c r="AY247" i="3"/>
  <c r="BA247" i="3" s="1"/>
  <c r="H23" i="9"/>
  <c r="AM10" i="3"/>
  <c r="AQ10" i="3" s="1"/>
  <c r="AQ137" i="3"/>
  <c r="AS137" i="3"/>
  <c r="AQ159" i="3"/>
  <c r="AS159" i="3"/>
  <c r="AR159" i="3"/>
  <c r="AQ162" i="3"/>
  <c r="AQ181" i="3"/>
  <c r="AS181" i="3"/>
  <c r="AQ200" i="3"/>
  <c r="AQ203" i="3"/>
  <c r="AS203" i="3"/>
  <c r="AR219" i="3"/>
  <c r="AQ219" i="3"/>
  <c r="AS219" i="3"/>
  <c r="AS241" i="3"/>
  <c r="AS244" i="3"/>
  <c r="AR244" i="3"/>
  <c r="I23" i="9"/>
  <c r="AS156" i="3"/>
  <c r="AR156" i="3"/>
  <c r="AQ225" i="3"/>
  <c r="AS225" i="3"/>
  <c r="AR197" i="3"/>
  <c r="AQ197" i="3"/>
  <c r="AS202" i="3"/>
  <c r="AQ202" i="3"/>
  <c r="AS238" i="3"/>
  <c r="AQ238" i="3"/>
  <c r="AR250" i="3"/>
  <c r="AQ250" i="3"/>
  <c r="AS250" i="3"/>
  <c r="AL121" i="3"/>
  <c r="AX121" i="3" s="1"/>
  <c r="AL144" i="3"/>
  <c r="AX144" i="3" s="1"/>
  <c r="AS222" i="3"/>
  <c r="AR222" i="3"/>
  <c r="AR225" i="3"/>
  <c r="AL239" i="3"/>
  <c r="AX239" i="3" s="1"/>
  <c r="C38" i="6"/>
  <c r="C39" i="6" s="1"/>
  <c r="AL77" i="3"/>
  <c r="AX77" i="3" s="1"/>
  <c r="AL137" i="3"/>
  <c r="AX137" i="3" s="1"/>
  <c r="AL187" i="3"/>
  <c r="AX187" i="3" s="1"/>
  <c r="AL210" i="3"/>
  <c r="AX210" i="3" s="1"/>
  <c r="C36" i="6"/>
  <c r="A5" i="10"/>
  <c r="E57" i="12"/>
  <c r="Q5" i="11" l="1"/>
  <c r="G5" i="11"/>
  <c r="AY121" i="3"/>
  <c r="BA121" i="3" s="1"/>
  <c r="AZ121" i="3"/>
  <c r="AY5" i="3"/>
  <c r="AY69" i="3"/>
  <c r="BA69" i="3" s="1"/>
  <c r="AZ69" i="3"/>
  <c r="D72" i="9"/>
  <c r="Q45" i="11" s="1"/>
  <c r="R22" i="11"/>
  <c r="AZ110" i="3"/>
  <c r="AY110" i="3"/>
  <c r="BA110" i="3" s="1"/>
  <c r="R15" i="11"/>
  <c r="AZ232" i="3"/>
  <c r="AY232" i="3"/>
  <c r="BA232" i="3" s="1"/>
  <c r="A55" i="9"/>
  <c r="AY77" i="3"/>
  <c r="BA77" i="3" s="1"/>
  <c r="AZ77" i="3"/>
  <c r="R23" i="11"/>
  <c r="B23" i="9"/>
  <c r="AZ144" i="3"/>
  <c r="AY144" i="3"/>
  <c r="BA144" i="3" s="1"/>
  <c r="B72" i="9"/>
  <c r="Q22" i="11" s="1"/>
  <c r="BA2" i="3"/>
  <c r="D62" i="9"/>
  <c r="Q35" i="11" s="1"/>
  <c r="R12" i="11"/>
  <c r="G10" i="12"/>
  <c r="E58" i="12"/>
  <c r="C40" i="6"/>
  <c r="Q19" i="12"/>
  <c r="AY239" i="3"/>
  <c r="BA239" i="3" s="1"/>
  <c r="AZ239" i="3"/>
  <c r="B79" i="9"/>
  <c r="AZ41" i="3"/>
  <c r="AY41" i="3"/>
  <c r="BA41" i="3" s="1"/>
  <c r="AZ188" i="3"/>
  <c r="AY188" i="3"/>
  <c r="BA188" i="3" s="1"/>
  <c r="D4" i="9"/>
  <c r="AZ40" i="3"/>
  <c r="AY40" i="3"/>
  <c r="BA40" i="3" s="1"/>
  <c r="B18" i="1"/>
  <c r="BA13" i="3"/>
  <c r="AZ15" i="3"/>
  <c r="BA15" i="3" s="1"/>
  <c r="AY122" i="3"/>
  <c r="BA122" i="3" s="1"/>
  <c r="AZ122" i="3"/>
  <c r="AY99" i="3"/>
  <c r="BA99" i="3" s="1"/>
  <c r="AZ99" i="3"/>
  <c r="B65" i="9"/>
  <c r="Q15" i="11" s="1"/>
  <c r="AZ62" i="3"/>
  <c r="AY62" i="3"/>
  <c r="BA62" i="3" s="1"/>
  <c r="AY98" i="3"/>
  <c r="BA98" i="3" s="1"/>
  <c r="AZ98" i="3"/>
  <c r="AZ18" i="3"/>
  <c r="AY18" i="3"/>
  <c r="BA18" i="3" s="1"/>
  <c r="AY14" i="3"/>
  <c r="U7" i="3"/>
  <c r="AS7" i="3"/>
  <c r="AR7" i="3"/>
  <c r="AQ7" i="3"/>
  <c r="AY7" i="3"/>
  <c r="AZ7" i="3"/>
  <c r="AY231" i="3"/>
  <c r="BA231" i="3" s="1"/>
  <c r="AZ231" i="3"/>
  <c r="G27" i="9"/>
  <c r="AX8" i="3"/>
  <c r="BB8" i="3"/>
  <c r="S8" i="3"/>
  <c r="R24" i="11"/>
  <c r="AP2" i="3"/>
  <c r="B29" i="1"/>
  <c r="AZ103" i="3"/>
  <c r="AY103" i="3"/>
  <c r="BA103" i="3" s="1"/>
  <c r="AQ3" i="3"/>
  <c r="BB11" i="3"/>
  <c r="S11" i="3"/>
  <c r="AX11" i="3"/>
  <c r="B73" i="9"/>
  <c r="Q23" i="11" s="1"/>
  <c r="AY210" i="3"/>
  <c r="BA210" i="3" s="1"/>
  <c r="AZ210" i="3"/>
  <c r="D61" i="9"/>
  <c r="Q34" i="11" s="1"/>
  <c r="R11" i="11"/>
  <c r="AR12" i="3"/>
  <c r="AQ12" i="3"/>
  <c r="AS12" i="3"/>
  <c r="U12" i="3"/>
  <c r="A4" i="9"/>
  <c r="AX9" i="3"/>
  <c r="S9" i="3"/>
  <c r="BB9" i="3"/>
  <c r="A5" i="12"/>
  <c r="J45" i="1"/>
  <c r="J45" i="10"/>
  <c r="G55" i="12"/>
  <c r="AY12" i="3"/>
  <c r="AZ12" i="3" s="1"/>
  <c r="AY113" i="3"/>
  <c r="BA113" i="3" s="1"/>
  <c r="AZ113" i="3"/>
  <c r="R20" i="11"/>
  <c r="BA10" i="3"/>
  <c r="R21" i="11"/>
  <c r="R16" i="11"/>
  <c r="D66" i="9"/>
  <c r="Q39" i="11" s="1"/>
  <c r="AY187" i="3"/>
  <c r="BA187" i="3" s="1"/>
  <c r="AZ187" i="3"/>
  <c r="B22" i="9"/>
  <c r="AZ137" i="3"/>
  <c r="AY137" i="3"/>
  <c r="BA137" i="3" s="1"/>
  <c r="C63" i="9"/>
  <c r="B66" i="9"/>
  <c r="Q16" i="11" s="1"/>
  <c r="S6" i="3"/>
  <c r="BB6" i="3"/>
  <c r="AX6" i="3"/>
  <c r="D55" i="9" s="1"/>
  <c r="B74" i="9" l="1"/>
  <c r="AZ14" i="3"/>
  <c r="BA14" i="3" s="1"/>
  <c r="I62" i="9"/>
  <c r="K55" i="11" s="1"/>
  <c r="E59" i="12"/>
  <c r="G5" i="12"/>
  <c r="J44" i="10"/>
  <c r="D49" i="1"/>
  <c r="AY11" i="3"/>
  <c r="C69" i="9"/>
  <c r="A81" i="9"/>
  <c r="Q30" i="11"/>
  <c r="G10" i="11"/>
  <c r="D65" i="9"/>
  <c r="Q38" i="11" s="1"/>
  <c r="AY8" i="3"/>
  <c r="AZ8" i="3"/>
  <c r="C67" i="9"/>
  <c r="AR6" i="3"/>
  <c r="AS6" i="3"/>
  <c r="AQ6" i="3"/>
  <c r="U6" i="3"/>
  <c r="D8" i="9"/>
  <c r="C24" i="9"/>
  <c r="A8" i="9"/>
  <c r="G8" i="9"/>
  <c r="D13" i="9"/>
  <c r="C29" i="6"/>
  <c r="C23" i="9"/>
  <c r="D10" i="11" s="1"/>
  <c r="C22" i="9"/>
  <c r="A10" i="11" s="1"/>
  <c r="BA7" i="3"/>
  <c r="B70" i="9"/>
  <c r="BA5" i="3"/>
  <c r="B71" i="9"/>
  <c r="AZ5" i="3"/>
  <c r="R13" i="11"/>
  <c r="AS9" i="3"/>
  <c r="AR9" i="3"/>
  <c r="AQ9" i="3"/>
  <c r="U9" i="3"/>
  <c r="AY9" i="3"/>
  <c r="C68" i="9"/>
  <c r="J33" i="9"/>
  <c r="D5" i="11"/>
  <c r="Q4" i="11"/>
  <c r="AY6" i="3"/>
  <c r="I61" i="9" s="1"/>
  <c r="K54" i="11" s="1"/>
  <c r="K56" i="11" s="1"/>
  <c r="AZ6" i="3"/>
  <c r="C64" i="9"/>
  <c r="AR11" i="3"/>
  <c r="AQ11" i="3"/>
  <c r="AS11" i="3"/>
  <c r="U11" i="3"/>
  <c r="AR8" i="3"/>
  <c r="AQ8" i="3"/>
  <c r="AS8" i="3"/>
  <c r="U8" i="3"/>
  <c r="BA12" i="3"/>
  <c r="B63" i="9"/>
  <c r="Q13" i="11" s="1"/>
  <c r="A5" i="11"/>
  <c r="Q3" i="11"/>
  <c r="AP12" i="3"/>
  <c r="J24" i="9" s="1"/>
  <c r="K24" i="9"/>
  <c r="B20" i="1"/>
  <c r="Q13" i="10"/>
  <c r="AP7" i="3"/>
  <c r="J31" i="9" s="1"/>
  <c r="B27" i="1"/>
  <c r="K31" i="9"/>
  <c r="Q20" i="10"/>
  <c r="D73" i="9"/>
  <c r="Q46" i="11" s="1"/>
  <c r="J10" i="11"/>
  <c r="B68" i="9" l="1"/>
  <c r="Q18" i="11" s="1"/>
  <c r="AP6" i="3"/>
  <c r="Q14" i="10"/>
  <c r="D4" i="1"/>
  <c r="B21" i="1"/>
  <c r="K25" i="9"/>
  <c r="C28" i="6"/>
  <c r="C60" i="12" s="1"/>
  <c r="D17" i="9"/>
  <c r="K53" i="11" s="1"/>
  <c r="D23" i="9"/>
  <c r="I11" i="1"/>
  <c r="A4" i="1"/>
  <c r="D22" i="9"/>
  <c r="C6" i="6"/>
  <c r="Q4" i="10"/>
  <c r="D15" i="9"/>
  <c r="K51" i="11" s="1"/>
  <c r="D16" i="9"/>
  <c r="D24" i="9"/>
  <c r="D14" i="9"/>
  <c r="AZ9" i="3"/>
  <c r="BA9" i="3" s="1"/>
  <c r="R19" i="11"/>
  <c r="Q6" i="10"/>
  <c r="AP9" i="3"/>
  <c r="J29" i="9" s="1"/>
  <c r="I13" i="1"/>
  <c r="B25" i="1"/>
  <c r="K29" i="9"/>
  <c r="Q18" i="10"/>
  <c r="R17" i="11"/>
  <c r="Q5" i="10"/>
  <c r="I12" i="1"/>
  <c r="AP8" i="3"/>
  <c r="J28" i="9" s="1"/>
  <c r="Q17" i="10"/>
  <c r="B24" i="1"/>
  <c r="K28" i="9"/>
  <c r="D63" i="9"/>
  <c r="Q36" i="11" s="1"/>
  <c r="BA8" i="3"/>
  <c r="B67" i="9"/>
  <c r="Q17" i="11" s="1"/>
  <c r="G55" i="9"/>
  <c r="AP11" i="3"/>
  <c r="J30" i="9" s="1"/>
  <c r="B26" i="1"/>
  <c r="Q19" i="10"/>
  <c r="K30" i="9"/>
  <c r="BA6" i="3"/>
  <c r="B64" i="9"/>
  <c r="Q14" i="11" s="1"/>
  <c r="J55" i="9"/>
  <c r="E15" i="10"/>
  <c r="Q21" i="11"/>
  <c r="D71" i="9"/>
  <c r="Q44" i="11" s="1"/>
  <c r="D64" i="9"/>
  <c r="Q37" i="11" s="1"/>
  <c r="R14" i="11"/>
  <c r="Q20" i="11"/>
  <c r="D70" i="9"/>
  <c r="Q43" i="11" s="1"/>
  <c r="BA11" i="3"/>
  <c r="B69" i="9"/>
  <c r="Q19" i="11" s="1"/>
  <c r="Q24" i="11"/>
  <c r="D74" i="9"/>
  <c r="Q47" i="11" s="1"/>
  <c r="AZ11" i="3"/>
  <c r="C30" i="6"/>
  <c r="R18" i="11"/>
  <c r="D68" i="9"/>
  <c r="Q41" i="11" s="1"/>
  <c r="T4" i="10" l="1"/>
  <c r="C34" i="6"/>
  <c r="Q8" i="12"/>
  <c r="G5" i="10"/>
  <c r="C11" i="6"/>
  <c r="C27" i="6"/>
  <c r="C15" i="6"/>
  <c r="K23" i="1" s="1"/>
  <c r="C56" i="12"/>
  <c r="K18" i="1"/>
  <c r="C16" i="6"/>
  <c r="D67" i="9"/>
  <c r="Q40" i="11" s="1"/>
  <c r="J25" i="9"/>
  <c r="B25" i="9"/>
  <c r="J4" i="9"/>
  <c r="H15" i="10"/>
  <c r="K52" i="11"/>
  <c r="G60" i="12"/>
  <c r="E60" i="12"/>
  <c r="J5" i="12"/>
  <c r="G45" i="1"/>
  <c r="D69" i="9"/>
  <c r="Q42" i="11" s="1"/>
  <c r="D10" i="12" l="1"/>
  <c r="J47" i="10"/>
  <c r="G56" i="12"/>
  <c r="C35" i="6"/>
  <c r="J49" i="1" s="1"/>
  <c r="J5" i="11"/>
  <c r="Q6" i="11"/>
  <c r="D25" i="9"/>
  <c r="A10" i="10"/>
  <c r="C17" i="6"/>
  <c r="J4" i="1"/>
  <c r="K24" i="1"/>
  <c r="J42" i="10"/>
  <c r="D45" i="1"/>
  <c r="C12" i="6"/>
  <c r="T5" i="10"/>
  <c r="K19" i="1"/>
  <c r="Q18" i="12" l="1"/>
  <c r="C58" i="12"/>
  <c r="C13" i="6"/>
  <c r="T6" i="10"/>
  <c r="J5" i="10"/>
  <c r="K20" i="1"/>
  <c r="G4" i="1"/>
  <c r="G58" i="12"/>
  <c r="C14" i="6"/>
  <c r="G61" i="12"/>
  <c r="E61" i="12"/>
  <c r="A15" i="10"/>
  <c r="D10" i="10"/>
  <c r="A45" i="1"/>
  <c r="K25" i="1"/>
  <c r="K22" i="1" l="1"/>
  <c r="J10" i="10"/>
  <c r="G10" i="10"/>
  <c r="K21" i="1"/>
</calcChain>
</file>

<file path=xl/sharedStrings.xml><?xml version="1.0" encoding="utf-8"?>
<sst xmlns="http://schemas.openxmlformats.org/spreadsheetml/2006/main" count="3959" uniqueCount="903">
  <si>
    <t>HOUSE FLIP REHAB DASHBOARD</t>
  </si>
  <si>
    <t>WORKED EXAMPLE: $112,000 purchase | $285,000 ARV | 1,500 sf. Replace example inputs before evaluating a real property.</t>
  </si>
  <si>
    <t>Use Cost Dashboard to compare ballpark vs detailed costs. Positive variance means the detailed takeoff is above the original benchmark.</t>
  </si>
  <si>
    <t>RISK &amp; SCOPE SUMMARY</t>
  </si>
  <si>
    <t>BUDGET BY PRIORITY</t>
  </si>
  <si>
    <t>Included Scope Items</t>
  </si>
  <si>
    <t>Priority</t>
  </si>
  <si>
    <t>Budget</t>
  </si>
  <si>
    <t>Critical Items</t>
  </si>
  <si>
    <t>P0 - Immediate/Safety</t>
  </si>
  <si>
    <t>P0 Immediate/Safety</t>
  </si>
  <si>
    <t>P1 - Before Offer</t>
  </si>
  <si>
    <t>P1 Before Offer</t>
  </si>
  <si>
    <t>P2 - Before Sale</t>
  </si>
  <si>
    <t>Permit-Required Items</t>
  </si>
  <si>
    <t>P3 - Value Add</t>
  </si>
  <si>
    <t>Contractor Quotes Entered</t>
  </si>
  <si>
    <t>P4 - Optional</t>
  </si>
  <si>
    <t>BUDGET BY CATEGORY</t>
  </si>
  <si>
    <t>DEAL CHECKS</t>
  </si>
  <si>
    <t>Category</t>
  </si>
  <si>
    <t>ARV</t>
  </si>
  <si>
    <t>Appliances &amp; Curb Appeal</t>
  </si>
  <si>
    <t>Total Rehab</t>
  </si>
  <si>
    <t>Basement &amp; Environmental</t>
  </si>
  <si>
    <t>Total Project Cost</t>
  </si>
  <si>
    <t>Bathrooms</t>
  </si>
  <si>
    <t>Projected Profit</t>
  </si>
  <si>
    <t>Electrical</t>
  </si>
  <si>
    <t>Profit Margin</t>
  </si>
  <si>
    <t>Exterior &amp; Site</t>
  </si>
  <si>
    <t>Cash-on-Cost ROI</t>
  </si>
  <si>
    <t>Flooring</t>
  </si>
  <si>
    <t>70% Rule MAO</t>
  </si>
  <si>
    <t>HVAC</t>
  </si>
  <si>
    <t>Detailed MAO</t>
  </si>
  <si>
    <t>Interior Finishes</t>
  </si>
  <si>
    <t>MAO Buffer</t>
  </si>
  <si>
    <t>Kitchen</t>
  </si>
  <si>
    <t>Plumbing &amp; Sewer</t>
  </si>
  <si>
    <t>Roof &amp; Attic</t>
  </si>
  <si>
    <t>Soft Costs &amp; Due Diligence</t>
  </si>
  <si>
    <t>Structure &amp; Foundation</t>
  </si>
  <si>
    <t>Windows, Doors &amp; Garage</t>
  </si>
  <si>
    <t>PERFORMANCE KPIs</t>
  </si>
  <si>
    <t>Actual-based KPIs use the blue Actual Performance Inputs on Project Inputs. Positive Schedule Variance and positive Actual-vs-Budget Variance indicate delay/overrun; positive MAO Buffer and ARV Variance are favorable.</t>
  </si>
  <si>
    <t>HOUSE FLIP PROJECT INPUTS</t>
  </si>
  <si>
    <t>Property / Deal Assumptions</t>
  </si>
  <si>
    <t>Value</t>
  </si>
  <si>
    <t>Notes</t>
  </si>
  <si>
    <t>ACTUAL PERFORMANCE INPUTS</t>
  </si>
  <si>
    <t>Property Address</t>
  </si>
  <si>
    <t>EXAMPLE PROPERTY - St. Louis, MO 63116</t>
  </si>
  <si>
    <t>WORKED EXAMPLE - replace with the subject property</t>
  </si>
  <si>
    <t>Planned Rehab Days</t>
  </si>
  <si>
    <t>Example baseline; replace with plan</t>
  </si>
  <si>
    <t>City / ZIP</t>
  </si>
  <si>
    <t>St. Louis, MO 63116</t>
  </si>
  <si>
    <t>Example market/ZIP</t>
  </si>
  <si>
    <t>Actual Rehab Days</t>
  </si>
  <si>
    <t>Enter when rehab is complete / current actual</t>
  </si>
  <si>
    <t>Living Area (sf)</t>
  </si>
  <si>
    <t>Example living area</t>
  </si>
  <si>
    <t>Total Project Days</t>
  </si>
  <si>
    <t>Acquisition through sale/close</t>
  </si>
  <si>
    <t>Beds / Baths</t>
  </si>
  <si>
    <t>3 / 2</t>
  </si>
  <si>
    <t>Example configuration</t>
  </si>
  <si>
    <t>Actual Rehab Cost</t>
  </si>
  <si>
    <t>Actual paid/committed rehab cost</t>
  </si>
  <si>
    <t>Purchase Price</t>
  </si>
  <si>
    <t>Illustrative acquisition price</t>
  </si>
  <si>
    <t>Actual Sale Price</t>
  </si>
  <si>
    <t>Enter final sale price when known</t>
  </si>
  <si>
    <t>After Repair Value (ARV)</t>
  </si>
  <si>
    <t>Illustrative comp-supported ARV</t>
  </si>
  <si>
    <t>Buying Closing Costs %</t>
  </si>
  <si>
    <t>Example buying closing cost assumption</t>
  </si>
  <si>
    <t>Selling Costs %</t>
  </si>
  <si>
    <t>Example selling cost assumption</t>
  </si>
  <si>
    <t>Holding Period (months)</t>
  </si>
  <si>
    <t>Example acquisition-to-sale duration</t>
  </si>
  <si>
    <t>Monthly Holding Cost</t>
  </si>
  <si>
    <t>Interest + tax + insurance + utilities + lawn/security</t>
  </si>
  <si>
    <t>Financing / Points / Loan Fees</t>
  </si>
  <si>
    <t>Illustrative financing/points</t>
  </si>
  <si>
    <t>Default Rehab Contingency %</t>
  </si>
  <si>
    <t>Example rehab contingency</t>
  </si>
  <si>
    <t>Target Profit</t>
  </si>
  <si>
    <t>Example minimum profit goal</t>
  </si>
  <si>
    <t>70% Rule Benchmark</t>
  </si>
  <si>
    <t>Quick-screening rule only</t>
  </si>
  <si>
    <t>WORKED EXAMPLE ACTIVE - replace blue/input cells for a real property.</t>
  </si>
  <si>
    <t>HOW TO USE</t>
  </si>
  <si>
    <t>1</t>
  </si>
  <si>
    <t>Enter or replace deal assumptions above.</t>
  </si>
  <si>
    <t>2</t>
  </si>
  <si>
    <t>Use Scope Builder: choose a Cost Code, paste the inspector/appraiser/designer note, enter quantity, priority and source.</t>
  </si>
  <si>
    <t>3</t>
  </si>
  <si>
    <t>Select cost basis: Low / Typical / High / Contractor Quote. Replace allowances with actual bids before purchase.</t>
  </si>
  <si>
    <t>4</t>
  </si>
  <si>
    <t>Dashboard and Flip Analysis update automatically for rows marked Include? = Yes.</t>
  </si>
  <si>
    <t>5</t>
  </si>
  <si>
    <t>Treat structural, active water, electrical safety, sewer, roof leaks and environmental issues as deal-risk items until professionally evaluated.</t>
  </si>
  <si>
    <t>Include?</t>
  </si>
  <si>
    <t>Cost Code</t>
  </si>
  <si>
    <t>Trade</t>
  </si>
  <si>
    <t>Location / Room</t>
  </si>
  <si>
    <t>Inspector / Appraiser / Designer Note</t>
  </si>
  <si>
    <t>Work Type</t>
  </si>
  <si>
    <t>Source</t>
  </si>
  <si>
    <t>Severity</t>
  </si>
  <si>
    <t>Safety / Code?</t>
  </si>
  <si>
    <t>Qty</t>
  </si>
  <si>
    <t>Unit</t>
  </si>
  <si>
    <t>Low</t>
  </si>
  <si>
    <t>Typical</t>
  </si>
  <si>
    <t>High</t>
  </si>
  <si>
    <t>Contractor Quote (Total)</t>
  </si>
  <si>
    <t>Cost Basis</t>
  </si>
  <si>
    <t>Base Cost</t>
  </si>
  <si>
    <t>Contingency %</t>
  </si>
  <si>
    <t>Budgeted Cost</t>
  </si>
  <si>
    <t>Status</t>
  </si>
  <si>
    <t>Permit?</t>
  </si>
  <si>
    <t>Est. Days</t>
  </si>
  <si>
    <t>ARV Impact</t>
  </si>
  <si>
    <t>Value-Add Score (1-5)</t>
  </si>
  <si>
    <t>Contractor</t>
  </si>
  <si>
    <t>Dependency / Sequence</t>
  </si>
  <si>
    <t>Material Qty</t>
  </si>
  <si>
    <t>Material Unit Cost</t>
  </si>
  <si>
    <t>Material Input Total</t>
  </si>
  <si>
    <t>Labor Qty / Hours</t>
  </si>
  <si>
    <t>Labor Unit Rate</t>
  </si>
  <si>
    <t>Labor Input Total</t>
  </si>
  <si>
    <t>Equipment / Disposal</t>
  </si>
  <si>
    <t>Permit / Other</t>
  </si>
  <si>
    <t>Detailed Base Cost</t>
  </si>
  <si>
    <t>Material Cost (Allocated)</t>
  </si>
  <si>
    <t>Labor Cost (Allocated)</t>
  </si>
  <si>
    <t>Other Cost (Allocated)</t>
  </si>
  <si>
    <t>Contingency $</t>
  </si>
  <si>
    <t>Material %</t>
  </si>
  <si>
    <t>Labor %</t>
  </si>
  <si>
    <t>Other %</t>
  </si>
  <si>
    <t>Split Quality</t>
  </si>
  <si>
    <t>Ballpark Basis</t>
  </si>
  <si>
    <t>Ballpark Base Cost</t>
  </si>
  <si>
    <t>Ballpark Budget incl. Contingency</t>
  </si>
  <si>
    <t>Detailed Budget</t>
  </si>
  <si>
    <t>Comparable Ballpark</t>
  </si>
  <si>
    <t>Variance $</t>
  </si>
  <si>
    <t>Variance %</t>
  </si>
  <si>
    <t>Estimate Stage</t>
  </si>
  <si>
    <t>Yes</t>
  </si>
  <si>
    <t>SOFT-001</t>
  </si>
  <si>
    <t>Whole house</t>
  </si>
  <si>
    <t>General home inspection before contingency deadline</t>
  </si>
  <si>
    <t>Home Inspector</t>
  </si>
  <si>
    <t>Medium</t>
  </si>
  <si>
    <t>No</t>
  </si>
  <si>
    <t>Contractor Quote</t>
  </si>
  <si>
    <t>Complete</t>
  </si>
  <si>
    <t>Example Inspector</t>
  </si>
  <si>
    <t>First due-diligence step</t>
  </si>
  <si>
    <t>Illustrative quote</t>
  </si>
  <si>
    <t>SOFT-002</t>
  </si>
  <si>
    <t>Sewer lateral</t>
  </si>
  <si>
    <t>Camera scope of older sewer lateral</t>
  </si>
  <si>
    <t>Example Sewer Scope</t>
  </si>
  <si>
    <t>After general inspection</t>
  </si>
  <si>
    <t>STR-001</t>
  </si>
  <si>
    <t>Basement</t>
  </si>
  <si>
    <t>Engineer review of stair-step cracking noted by inspector</t>
  </si>
  <si>
    <t>Critical</t>
  </si>
  <si>
    <t>Example Structural Engineer</t>
  </si>
  <si>
    <t>Before committing to structural repairs</t>
  </si>
  <si>
    <t>No stabilization assumed in example</t>
  </si>
  <si>
    <t>ROF-001</t>
  </si>
  <si>
    <t>Roof</t>
  </si>
  <si>
    <t>Replace aging asphalt-shingle roof; include tear-off and disposal</t>
  </si>
  <si>
    <t>Detailed Breakdown</t>
  </si>
  <si>
    <t>Quoted</t>
  </si>
  <si>
    <t>Example Roofer</t>
  </si>
  <si>
    <t>Complete before interior moisture repairs</t>
  </si>
  <si>
    <t>Detailed example is above ballpark</t>
  </si>
  <si>
    <t>ELE-001</t>
  </si>
  <si>
    <t>Basement / service</t>
  </si>
  <si>
    <t>Replace obsolete electrical panel and correct grounding/labeling</t>
  </si>
  <si>
    <t>Example Electrician</t>
  </si>
  <si>
    <t>Before finish work</t>
  </si>
  <si>
    <t>Permit allowance included</t>
  </si>
  <si>
    <t>PLB-009</t>
  </si>
  <si>
    <t>Front yard / sewer</t>
  </si>
  <si>
    <t>Spot repair of sewer lateral after root intrusion found on scope</t>
  </si>
  <si>
    <t>Specialist</t>
  </si>
  <si>
    <t>Example Plumber</t>
  </si>
  <si>
    <t>After sewer camera</t>
  </si>
  <si>
    <t>Excavation included; high uncertainty item</t>
  </si>
  <si>
    <t>HVAC-001</t>
  </si>
  <si>
    <t>Replace end-of-life furnace/AC system</t>
  </si>
  <si>
    <t>Example HVAC Contractor</t>
  </si>
  <si>
    <t>Before final paint touch-up</t>
  </si>
  <si>
    <t>Illustrative installed-system breakdown</t>
  </si>
  <si>
    <t>INT-004</t>
  </si>
  <si>
    <t>Neutral interior repaint for resale</t>
  </si>
  <si>
    <t>Interior Designer</t>
  </si>
  <si>
    <t>Approved</t>
  </si>
  <si>
    <t>Example Painting Crew</t>
  </si>
  <si>
    <t>After major electrical/plumbing work</t>
  </si>
  <si>
    <t>35 gal paint/supplies + labor example</t>
  </si>
  <si>
    <t>FLR-001</t>
  </si>
  <si>
    <t>Living areas / bedrooms</t>
  </si>
  <si>
    <t>Install LVP; 1,200 sf coverage plus ~10% material waste</t>
  </si>
  <si>
    <t>Example Flooring Crew</t>
  </si>
  <si>
    <t>After painting; before final trim</t>
  </si>
  <si>
    <t>Detailed takeoff uses 1,320 sf material</t>
  </si>
  <si>
    <t>KIT-001</t>
  </si>
  <si>
    <t>Mid-range flip kitchen: cabinets, counters, appliances, lighting and finish work</t>
  </si>
  <si>
    <t>Example GC / Kitchen Crew</t>
  </si>
  <si>
    <t>Rough plumbing/electrical before cabinets</t>
  </si>
  <si>
    <t>Illustrative bundled material and labor</t>
  </si>
  <si>
    <t>BAT-001</t>
  </si>
  <si>
    <t>Main bathroom</t>
  </si>
  <si>
    <t>Full bath refresh with waterproofing, vanity, fixtures, tile and paint</t>
  </si>
  <si>
    <t>Example Bath Contractor</t>
  </si>
  <si>
    <t>After rough plumbing/electrical</t>
  </si>
  <si>
    <t>Detailed estimate slightly above ballpark</t>
  </si>
  <si>
    <t>APP-005</t>
  </si>
  <si>
    <t>Front entry</t>
  </si>
  <si>
    <t>Refinish/paint front door for curb appeal</t>
  </si>
  <si>
    <t>Example Handyman</t>
  </si>
  <si>
    <t>Late-stage curb appeal</t>
  </si>
  <si>
    <t>Small value-add item</t>
  </si>
  <si>
    <t>WND-002</t>
  </si>
  <si>
    <t>Bedrooms / living room</t>
  </si>
  <si>
    <t>Replace six failed/dated standard windows</t>
  </si>
  <si>
    <t>Example Window Installer</t>
  </si>
  <si>
    <t>Before interior trim touch-up</t>
  </si>
  <si>
    <t>Six-window example</t>
  </si>
  <si>
    <t>EXT-013</t>
  </si>
  <si>
    <t>Front / rear yard</t>
  </si>
  <si>
    <t>Basic landscaping and curb-appeal refresh</t>
  </si>
  <si>
    <t>Example Landscape Crew</t>
  </si>
  <si>
    <t>Final exterior phase</t>
  </si>
  <si>
    <t>Mulch, pruning, lawn repair and cleanup</t>
  </si>
  <si>
    <t>Not Started</t>
  </si>
  <si>
    <t>Scope Item</t>
  </si>
  <si>
    <t>Low Allowance</t>
  </si>
  <si>
    <t>Typical Allowance</t>
  </si>
  <si>
    <t>High Allowance</t>
  </si>
  <si>
    <t>Risk Class</t>
  </si>
  <si>
    <t>Source Basis</t>
  </si>
  <si>
    <t>Source URL</t>
  </si>
  <si>
    <t>Default Material %</t>
  </si>
  <si>
    <t>Default Labor %</t>
  </si>
  <si>
    <t>Default Other %</t>
  </si>
  <si>
    <t>Cost Split Basis</t>
  </si>
  <si>
    <t>Structural Engineer</t>
  </si>
  <si>
    <t>Structural engineer evaluation</t>
  </si>
  <si>
    <t>Inspection</t>
  </si>
  <si>
    <t>project</t>
  </si>
  <si>
    <t>2026 foundation repair guide + rehab planning allowance; verify with local bid</t>
  </si>
  <si>
    <t>https://www.angi.com/articles/how-much-does-foundation-repair-cost.htm</t>
  </si>
  <si>
    <t>Inspection/professional fee classified as Other</t>
  </si>
  <si>
    <t>STR-002</t>
  </si>
  <si>
    <t>Foundation</t>
  </si>
  <si>
    <t>Epoxy repair of non-structural foundation crack</t>
  </si>
  <si>
    <t>Repair</t>
  </si>
  <si>
    <t>each</t>
  </si>
  <si>
    <t>Sometimes</t>
  </si>
  <si>
    <t>Heavy repair planning split</t>
  </si>
  <si>
    <t>STR-003</t>
  </si>
  <si>
    <t>Foundation stabilization / wall bracing</t>
  </si>
  <si>
    <t>STR-004</t>
  </si>
  <si>
    <t>Foundation pier / underpinning</t>
  </si>
  <si>
    <t>STR-005</t>
  </si>
  <si>
    <t>Carpentry</t>
  </si>
  <si>
    <t>Repair damaged floor joist</t>
  </si>
  <si>
    <t>2026 St. Louis whole-house renovation guide + rehab planning allowance; verify with local bid</t>
  </si>
  <si>
    <t>https://www.angi.com/articles/complete-house-renovation-cost/mo/st-louis</t>
  </si>
  <si>
    <t>Installed building component planning split</t>
  </si>
  <si>
    <t>STR-006</t>
  </si>
  <si>
    <t>Sister / reinforce floor joists</t>
  </si>
  <si>
    <t>lf</t>
  </si>
  <si>
    <t>STR-007</t>
  </si>
  <si>
    <t>Replace structural beam/header</t>
  </si>
  <si>
    <t>Replace</t>
  </si>
  <si>
    <t>STR-008</t>
  </si>
  <si>
    <t>Masonry</t>
  </si>
  <si>
    <t>Repair bowed/block basement wall</t>
  </si>
  <si>
    <t>STR-009</t>
  </si>
  <si>
    <t>Waterproofing</t>
  </si>
  <si>
    <t>Basement waterproofing / drainage system</t>
  </si>
  <si>
    <t>Roofing planning split</t>
  </si>
  <si>
    <t>STR-010</t>
  </si>
  <si>
    <t>Crawl-space vapor barrier</t>
  </si>
  <si>
    <t>sf</t>
  </si>
  <si>
    <t>STR-011</t>
  </si>
  <si>
    <t>Install/replace sump pump</t>
  </si>
  <si>
    <t>Roofing</t>
  </si>
  <si>
    <t>Full asphalt-shingle roof replacement</t>
  </si>
  <si>
    <t>2026 St. Louis roof replacement guide</t>
  </si>
  <si>
    <t>https://www.angi.com/articles/how-much-does-roof-replacement-cost/mo/st-louis</t>
  </si>
  <si>
    <t>ROF-002</t>
  </si>
  <si>
    <t>Localized roof leak / shingle repair</t>
  </si>
  <si>
    <t>2026 St. Louis roof replacement guide + rehab planning allowance; verify with local bid</t>
  </si>
  <si>
    <t>ROF-003</t>
  </si>
  <si>
    <t>Replace roof decking / sheathing</t>
  </si>
  <si>
    <t>ROF-004</t>
  </si>
  <si>
    <t>Repair/replace flashing</t>
  </si>
  <si>
    <t>ROF-005</t>
  </si>
  <si>
    <t>Masonry/Roofing</t>
  </si>
  <si>
    <t>Chimney flashing repair</t>
  </si>
  <si>
    <t>ROF-006</t>
  </si>
  <si>
    <t>Gutter</t>
  </si>
  <si>
    <t>Replace gutters</t>
  </si>
  <si>
    <t>ROF-007</t>
  </si>
  <si>
    <t>Replace/extend downspout</t>
  </si>
  <si>
    <t>ROF-008</t>
  </si>
  <si>
    <t>Repair fascia/soffit</t>
  </si>
  <si>
    <t>ROF-009</t>
  </si>
  <si>
    <t>Insulation</t>
  </si>
  <si>
    <t>Add attic insulation</t>
  </si>
  <si>
    <t>Renovation</t>
  </si>
  <si>
    <t>Installed repair planning split</t>
  </si>
  <si>
    <t>ROF-010</t>
  </si>
  <si>
    <t>Add/repair roof or attic ventilation</t>
  </si>
  <si>
    <t>ROF-011</t>
  </si>
  <si>
    <t>Pest/Remediation</t>
  </si>
  <si>
    <t>Remove attic animal contamination / sanitize</t>
  </si>
  <si>
    <t>Remediation planning split</t>
  </si>
  <si>
    <t>EXT-001</t>
  </si>
  <si>
    <t>Siding</t>
  </si>
  <si>
    <t>Replace siding</t>
  </si>
  <si>
    <t>EXT-002</t>
  </si>
  <si>
    <t>Painting</t>
  </si>
  <si>
    <t>Exterior paint</t>
  </si>
  <si>
    <t>St. Louis exterior painting guide</t>
  </si>
  <si>
    <t>https://www.angi.com/articles/cost-paint-house-exterior/mo/st-louis</t>
  </si>
  <si>
    <t>Painting planning split</t>
  </si>
  <si>
    <t>EXT-003</t>
  </si>
  <si>
    <t>Brick tuckpointing</t>
  </si>
  <si>
    <t>EXT-004</t>
  </si>
  <si>
    <t>Chimney masonry repair / cap</t>
  </si>
  <si>
    <t>EXT-005</t>
  </si>
  <si>
    <t>Concrete</t>
  </si>
  <si>
    <t>Repair concrete steps/porch</t>
  </si>
  <si>
    <t>EXT-006</t>
  </si>
  <si>
    <t>Deck</t>
  </si>
  <si>
    <t>Repair deck/porch</t>
  </si>
  <si>
    <t>EXT-007</t>
  </si>
  <si>
    <t>Replace deck</t>
  </si>
  <si>
    <t>EXT-008</t>
  </si>
  <si>
    <t>Fence</t>
  </si>
  <si>
    <t>Replace fence</t>
  </si>
  <si>
    <t>Generic rehab planning split</t>
  </si>
  <si>
    <t>EXT-009</t>
  </si>
  <si>
    <t>Driveway/sidewalk patch</t>
  </si>
  <si>
    <t>EXT-010</t>
  </si>
  <si>
    <t>Replace concrete flatwork</t>
  </si>
  <si>
    <t>EXT-011</t>
  </si>
  <si>
    <t>Landscaping</t>
  </si>
  <si>
    <t>Correct negative grading / drainage</t>
  </si>
  <si>
    <t>Landscaping planning split</t>
  </si>
  <si>
    <t>EXT-012</t>
  </si>
  <si>
    <t>Tree removal</t>
  </si>
  <si>
    <t>Basic landscaping / curb appeal refresh</t>
  </si>
  <si>
    <t>EXT-014</t>
  </si>
  <si>
    <t>Cleaning</t>
  </si>
  <si>
    <t>Pressure washing</t>
  </si>
  <si>
    <t>Cleaning planning split</t>
  </si>
  <si>
    <t>EXT-015</t>
  </si>
  <si>
    <t>Drainage</t>
  </si>
  <si>
    <t>Install yard drain / French drain</t>
  </si>
  <si>
    <t>Electrician</t>
  </si>
  <si>
    <t>Replace/update main electrical panel</t>
  </si>
  <si>
    <t>Electrical planning split</t>
  </si>
  <si>
    <t>ELE-002</t>
  </si>
  <si>
    <t>Whole-house rewiring</t>
  </si>
  <si>
    <t>ELE-003</t>
  </si>
  <si>
    <t>Install/replace GFCI receptacle</t>
  </si>
  <si>
    <t>ELE-004</t>
  </si>
  <si>
    <t>Install/replace AFCI protection</t>
  </si>
  <si>
    <t>ELE-005</t>
  </si>
  <si>
    <t>Replace outlet/switch</t>
  </si>
  <si>
    <t>ELE-006</t>
  </si>
  <si>
    <t>Install/replace light fixture</t>
  </si>
  <si>
    <t>2026 St. Louis interior painting guide + rehab planning allowance; verify with local bid</t>
  </si>
  <si>
    <t>https://www.angi.com/articles/how-much-does-it-cost-paint-room/mo/st-louis</t>
  </si>
  <si>
    <t>ELE-007</t>
  </si>
  <si>
    <t>Install ceiling fan</t>
  </si>
  <si>
    <t>ELE-008</t>
  </si>
  <si>
    <t>Correct grounding/bonding deficiencies</t>
  </si>
  <si>
    <t>ELE-009</t>
  </si>
  <si>
    <t>Repair service mast / weatherhead</t>
  </si>
  <si>
    <t>ELE-010</t>
  </si>
  <si>
    <t>Add circuits / correct overloaded circuits</t>
  </si>
  <si>
    <t>ELE-011</t>
  </si>
  <si>
    <t>Replace exposed/unsafe junction or wiring</t>
  </si>
  <si>
    <t>ELE-012</t>
  </si>
  <si>
    <t>Install hardwired smoke/CO protection</t>
  </si>
  <si>
    <t>PLB-001</t>
  </si>
  <si>
    <t>Plumber</t>
  </si>
  <si>
    <t>Main water line repair</t>
  </si>
  <si>
    <t>St. Louis main water line repair guide</t>
  </si>
  <si>
    <t>https://www.angi.com/articles/how-much-does-water-main-repair-cost/mo/st-louis</t>
  </si>
  <si>
    <t>Plumbing/sewer planning split</t>
  </si>
  <si>
    <t>PLB-002</t>
  </si>
  <si>
    <t>Main water line replacement</t>
  </si>
  <si>
    <t>2026 St. Louis main water line replacement guide</t>
  </si>
  <si>
    <t>https://www.angi.com/articles/what-general-cost-water-main-line-replacement/mo/st-louis</t>
  </si>
  <si>
    <t>PLB-003</t>
  </si>
  <si>
    <t>Main water service replacement by length</t>
  </si>
  <si>
    <t>PLB-004</t>
  </si>
  <si>
    <t>Replace damaged/leaking pipe section</t>
  </si>
  <si>
    <t>2026 St. Louis main water line replacement guide + rehab planning allowance; verify with local bid</t>
  </si>
  <si>
    <t>PLB-005</t>
  </si>
  <si>
    <t>Whole-house repipe</t>
  </si>
  <si>
    <t>PLB-006</t>
  </si>
  <si>
    <t>Tank water heater replacement</t>
  </si>
  <si>
    <t>2026 water heater replacement guide</t>
  </si>
  <si>
    <t>https://www.angi.com/articles/how-much-does-water-heater-installation-cost.htm</t>
  </si>
  <si>
    <t>PLB-007</t>
  </si>
  <si>
    <t>Tankless water heater replacement</t>
  </si>
  <si>
    <t>PLB-008</t>
  </si>
  <si>
    <t>Sewer camera scope</t>
  </si>
  <si>
    <t>Sewer line spot repair</t>
  </si>
  <si>
    <t>PLB-010</t>
  </si>
  <si>
    <t>Sewer lateral replacement</t>
  </si>
  <si>
    <t>PLB-011</t>
  </si>
  <si>
    <t>Kitchen faucet install/replace</t>
  </si>
  <si>
    <t>2026 St. Louis kitchen faucet installation guide</t>
  </si>
  <si>
    <t>https://www.angi.com/articles/what-does-it-cost-install-kitchen-faucet/mo/st-louis</t>
  </si>
  <si>
    <t>PLB-012</t>
  </si>
  <si>
    <t>Replace toilet</t>
  </si>
  <si>
    <t>PLB-013</t>
  </si>
  <si>
    <t>Replace sink / basin</t>
  </si>
  <si>
    <t>PLB-014</t>
  </si>
  <si>
    <t>Replace garbage disposal</t>
  </si>
  <si>
    <t>PLB-015</t>
  </si>
  <si>
    <t>Replace main shut-off valve</t>
  </si>
  <si>
    <t>2026 main water shut-off valve guide</t>
  </si>
  <si>
    <t>https://www.angi.com/articles/what-cost-replace-water-shut-valve-supplies-water-refrigerator.htm</t>
  </si>
  <si>
    <t>PLB-016</t>
  </si>
  <si>
    <t>Repair leaking fixture / trap</t>
  </si>
  <si>
    <t>PLB-017</t>
  </si>
  <si>
    <t>Add laundry hookups</t>
  </si>
  <si>
    <t>PLB-018</t>
  </si>
  <si>
    <t>Bathroom rough-in / relocated plumbing</t>
  </si>
  <si>
    <t>bath</t>
  </si>
  <si>
    <t>PLB-019</t>
  </si>
  <si>
    <t>Septic</t>
  </si>
  <si>
    <t>Septic system repair</t>
  </si>
  <si>
    <t>2026 septic repair guide</t>
  </si>
  <si>
    <t>https://www.angi.com/articles/how-much-does-repairing-septic-tank-cost.htm</t>
  </si>
  <si>
    <t>Full HVAC system replacement</t>
  </si>
  <si>
    <t>2026 St. Louis HVAC replacement guide</t>
  </si>
  <si>
    <t>https://www.angi.com/articles/insider-s-price-guide-new-heating-and-cooling-system/mo/st-louis</t>
  </si>
  <si>
    <t>HVAC planning split</t>
  </si>
  <si>
    <t>HVAC-002</t>
  </si>
  <si>
    <t>Central AC replacement</t>
  </si>
  <si>
    <t>HVAC-003</t>
  </si>
  <si>
    <t>Furnace repair</t>
  </si>
  <si>
    <t>2026 HVAC repair guide</t>
  </si>
  <si>
    <t>https://www.angi.com/articles/how-much-hvac-repair-cost.htm</t>
  </si>
  <si>
    <t>HVAC-004</t>
  </si>
  <si>
    <t>General HVAC repair</t>
  </si>
  <si>
    <t>HVAC-005</t>
  </si>
  <si>
    <t>Duct repair/sealing/modification</t>
  </si>
  <si>
    <t>2026 HVAC repair guide + rehab planning allowance; verify with local bid</t>
  </si>
  <si>
    <t>HVAC-006</t>
  </si>
  <si>
    <t>Thermostat replacement / smart thermostat</t>
  </si>
  <si>
    <t>HVAC-007</t>
  </si>
  <si>
    <t>Add return/supply or rebalance airflow</t>
  </si>
  <si>
    <t>HVAC-008</t>
  </si>
  <si>
    <t>Boiler repair/replacement allowance</t>
  </si>
  <si>
    <t>INT-001</t>
  </si>
  <si>
    <t>Drywall</t>
  </si>
  <si>
    <t>Install/replace drywall</t>
  </si>
  <si>
    <t>INT-002</t>
  </si>
  <si>
    <t>Drywall patch/repair allowance</t>
  </si>
  <si>
    <t>INT-003</t>
  </si>
  <si>
    <t>Paint standard 12x12 room</t>
  </si>
  <si>
    <t>room</t>
  </si>
  <si>
    <t>2026 St. Louis interior painting guide</t>
  </si>
  <si>
    <t>Whole-house interior paint allowance</t>
  </si>
  <si>
    <t>INT-005</t>
  </si>
  <si>
    <t>Baseboard/trim replace</t>
  </si>
  <si>
    <t>INT-006</t>
  </si>
  <si>
    <t>Interior door replacement</t>
  </si>
  <si>
    <t>INT-007</t>
  </si>
  <si>
    <t>Closet/bi-fold door replacement</t>
  </si>
  <si>
    <t>INT-008</t>
  </si>
  <si>
    <t>Handyman</t>
  </si>
  <si>
    <t>Door/cabinet hardware refresh</t>
  </si>
  <si>
    <t>Handyman/locksmith planning split</t>
  </si>
  <si>
    <t>INT-009</t>
  </si>
  <si>
    <t>Repair stair/guard/handrail</t>
  </si>
  <si>
    <t>INT-010</t>
  </si>
  <si>
    <t>Add crown molding / upgraded trim</t>
  </si>
  <si>
    <t>INT-011</t>
  </si>
  <si>
    <t>Window Treatment</t>
  </si>
  <si>
    <t>Basic blinds/window treatments</t>
  </si>
  <si>
    <t>window</t>
  </si>
  <si>
    <t>INT-012</t>
  </si>
  <si>
    <t>Deep clean / turnover clean</t>
  </si>
  <si>
    <t>Luxury vinyl plank (LVP) install</t>
  </si>
  <si>
    <t>2026 St. Louis flooring installation guide</t>
  </si>
  <si>
    <t>https://www.angi.com/articles/how-much-should-my-new-floor-cost/mo/st-louis</t>
  </si>
  <si>
    <t>Flooring/tile planning split</t>
  </si>
  <si>
    <t>FLR-002</t>
  </si>
  <si>
    <t>Carpet install</t>
  </si>
  <si>
    <t>FLR-003</t>
  </si>
  <si>
    <t>Tile</t>
  </si>
  <si>
    <t>Ceramic/porcelain floor tile</t>
  </si>
  <si>
    <t>FLR-004</t>
  </si>
  <si>
    <t>Hardwood installation</t>
  </si>
  <si>
    <t>2026 St. Louis flooring installation guide + rehab planning allowance; verify with local bid</t>
  </si>
  <si>
    <t>FLR-005</t>
  </si>
  <si>
    <t>Refinish hardwood flooring</t>
  </si>
  <si>
    <t>FLR-006</t>
  </si>
  <si>
    <t>Remove/dispose existing flooring</t>
  </si>
  <si>
    <t>FLR-007</t>
  </si>
  <si>
    <t>Repair/replace subfloor</t>
  </si>
  <si>
    <t>FLR-008</t>
  </si>
  <si>
    <t>Floor leveling / underlayment</t>
  </si>
  <si>
    <t>General Contractor</t>
  </si>
  <si>
    <t>Full kitchen renovation</t>
  </si>
  <si>
    <t>2026 St. Louis whole-house renovation guide</t>
  </si>
  <si>
    <t>General renovation planning split</t>
  </si>
  <si>
    <t>KIT-002</t>
  </si>
  <si>
    <t>Paint/refinish kitchen cabinets</t>
  </si>
  <si>
    <t>2026 St. Louis cabinet painting guide</t>
  </si>
  <si>
    <t>https://www.angi.com/articles/how-much-does-it-cost-paint-kitchen-cabinets/mo/st-louis</t>
  </si>
  <si>
    <t>KIT-003</t>
  </si>
  <si>
    <t>Cabinetry</t>
  </si>
  <si>
    <t>Replace stock/semi-custom cabinets</t>
  </si>
  <si>
    <t>Finish/material-heavy planning split</t>
  </si>
  <si>
    <t>KIT-004</t>
  </si>
  <si>
    <t>Countertop</t>
  </si>
  <si>
    <t>Laminate countertop</t>
  </si>
  <si>
    <t>KIT-005</t>
  </si>
  <si>
    <t>Quartz countertop</t>
  </si>
  <si>
    <t>KIT-006</t>
  </si>
  <si>
    <t>Granite countertop</t>
  </si>
  <si>
    <t>KIT-007</t>
  </si>
  <si>
    <t>Backsplash installation</t>
  </si>
  <si>
    <t>KIT-008</t>
  </si>
  <si>
    <t>Kitchen sink replacement</t>
  </si>
  <si>
    <t>KIT-009</t>
  </si>
  <si>
    <t>Appliance</t>
  </si>
  <si>
    <t>Kitchen appliance package</t>
  </si>
  <si>
    <t>package</t>
  </si>
  <si>
    <t>KIT-010</t>
  </si>
  <si>
    <t>HVAC/Electric</t>
  </si>
  <si>
    <t>Range hood / ventilation upgrade</t>
  </si>
  <si>
    <t>KIT-011</t>
  </si>
  <si>
    <t>Kitchen lighting upgrade</t>
  </si>
  <si>
    <t>KIT-012</t>
  </si>
  <si>
    <t>Kitchen island addition</t>
  </si>
  <si>
    <t>Full bathroom remodel</t>
  </si>
  <si>
    <t>2026 St. Louis bathroom remodel guide</t>
  </si>
  <si>
    <t>https://www.angi.com/articles/how-much-does-bathroom-remodel-cost/mo/st-louis</t>
  </si>
  <si>
    <t>BAT-002</t>
  </si>
  <si>
    <t>Bathtub replacement</t>
  </si>
  <si>
    <t>BAT-003</t>
  </si>
  <si>
    <t>Plumber/Tile</t>
  </si>
  <si>
    <t>Shower pan replacement</t>
  </si>
  <si>
    <t>2026 St. Louis shower pan replacement guide</t>
  </si>
  <si>
    <t>https://www.angi.com/articles/shower-pan-replacement-cost/mo/st-louis</t>
  </si>
  <si>
    <t>BAT-004</t>
  </si>
  <si>
    <t>Vanity replacement</t>
  </si>
  <si>
    <t>2026 St. Louis bathroom remodel guide + rehab planning allowance; verify with local bid</t>
  </si>
  <si>
    <t>BAT-005</t>
  </si>
  <si>
    <t>Tub/shower tile surround</t>
  </si>
  <si>
    <t>BAT-006</t>
  </si>
  <si>
    <t>Bathroom faucet replacement</t>
  </si>
  <si>
    <t>2026 St. Louis kitchen faucet installation guide + rehab planning allowance; verify with local bid</t>
  </si>
  <si>
    <t>BAT-007</t>
  </si>
  <si>
    <t>Bathroom exhaust fan replacement</t>
  </si>
  <si>
    <t>BAT-008</t>
  </si>
  <si>
    <t>Finishing</t>
  </si>
  <si>
    <t>Tub reglazing/refinishing</t>
  </si>
  <si>
    <t>Finish work planning split</t>
  </si>
  <si>
    <t>BAT-009</t>
  </si>
  <si>
    <t>Shower waterproofing correction</t>
  </si>
  <si>
    <t>BAT-010</t>
  </si>
  <si>
    <t>Mirror/accessories/hardware package</t>
  </si>
  <si>
    <t>WND-001</t>
  </si>
  <si>
    <t>Window</t>
  </si>
  <si>
    <t>Whole-home window replacement allowance</t>
  </si>
  <si>
    <t>2026 St. Louis window replacement guide</t>
  </si>
  <si>
    <t>https://www.angi.com/articles/how-much-does-window-replacement-cost/mo/st-louis</t>
  </si>
  <si>
    <t>Individual standard window replacement</t>
  </si>
  <si>
    <t>2026 St. Louis window replacement guide + rehab planning allowance; verify with local bid</t>
  </si>
  <si>
    <t>WND-003</t>
  </si>
  <si>
    <t>Window repair</t>
  </si>
  <si>
    <t>St. Louis window repair guide</t>
  </si>
  <si>
    <t>https://www.angi.com/articles/how-much-do-window-repairs-cost/mo/st-louis</t>
  </si>
  <si>
    <t>WND-004</t>
  </si>
  <si>
    <t>Basement egress window installation</t>
  </si>
  <si>
    <t>2026 St. Louis egress window guide</t>
  </si>
  <si>
    <t>https://www.angi.com/articles/how-much-does-egress-window-cost/mo/st-louis</t>
  </si>
  <si>
    <t>WND-005</t>
  </si>
  <si>
    <t>Exterior entry door replacement</t>
  </si>
  <si>
    <t>WND-006</t>
  </si>
  <si>
    <t>Garage Door</t>
  </si>
  <si>
    <t>Garage door replacement</t>
  </si>
  <si>
    <t>WND-007</t>
  </si>
  <si>
    <t>Garage door opener replacement</t>
  </si>
  <si>
    <t>WND-008</t>
  </si>
  <si>
    <t>Weatherstripping / air-sealing doors</t>
  </si>
  <si>
    <t>door</t>
  </si>
  <si>
    <t>WND-009</t>
  </si>
  <si>
    <t>Locksmith</t>
  </si>
  <si>
    <t>Exterior lock/deadbolt replacement</t>
  </si>
  <si>
    <t>WND-010</t>
  </si>
  <si>
    <t>Garage</t>
  </si>
  <si>
    <t>Garage drywall/fire separation repair</t>
  </si>
  <si>
    <t>BAS-001</t>
  </si>
  <si>
    <t>Finish unfinished basement</t>
  </si>
  <si>
    <t>BAS-002</t>
  </si>
  <si>
    <t>Remediation</t>
  </si>
  <si>
    <t>Water-damage restoration</t>
  </si>
  <si>
    <t>2026 St. Louis water damage restoration guide</t>
  </si>
  <si>
    <t>https://www.angi.com/articles/how-much-does-it-cost-repair-water-damage/mo/st-louis</t>
  </si>
  <si>
    <t>BAS-003</t>
  </si>
  <si>
    <t>Mold</t>
  </si>
  <si>
    <t>Mold remediation</t>
  </si>
  <si>
    <t>BAS-004</t>
  </si>
  <si>
    <t>Radon</t>
  </si>
  <si>
    <t>Radon mitigation system</t>
  </si>
  <si>
    <t>BAS-005</t>
  </si>
  <si>
    <t>Environmental</t>
  </si>
  <si>
    <t>Lead-paint testing / risk assessment</t>
  </si>
  <si>
    <t>BAS-006</t>
  </si>
  <si>
    <t>Asbestos testing</t>
  </si>
  <si>
    <t>BAS-007</t>
  </si>
  <si>
    <t>Asbestos abatement allowance</t>
  </si>
  <si>
    <t>BAS-008</t>
  </si>
  <si>
    <t>Mold testing</t>
  </si>
  <si>
    <t>BAS-009</t>
  </si>
  <si>
    <t>Pest Control</t>
  </si>
  <si>
    <t>Termite treatment / damage allowance</t>
  </si>
  <si>
    <t>BAS-010</t>
  </si>
  <si>
    <t>Dehumidifier / moisture control</t>
  </si>
  <si>
    <t>APP-001</t>
  </si>
  <si>
    <t>Range/oven replacement</t>
  </si>
  <si>
    <t>APP-002</t>
  </si>
  <si>
    <t>Refrigerator replacement</t>
  </si>
  <si>
    <t>APP-003</t>
  </si>
  <si>
    <t>Dishwasher replacement</t>
  </si>
  <si>
    <t>APP-004</t>
  </si>
  <si>
    <t>Washer/dryer set</t>
  </si>
  <si>
    <t>set</t>
  </si>
  <si>
    <t>Front door paint/refinish</t>
  </si>
  <si>
    <t>APP-006</t>
  </si>
  <si>
    <t>Mailbox/address-number refresh</t>
  </si>
  <si>
    <t>APP-007</t>
  </si>
  <si>
    <t>Exterior light fixture replacement</t>
  </si>
  <si>
    <t>APP-008</t>
  </si>
  <si>
    <t>Sod / lawn repair</t>
  </si>
  <si>
    <t>APP-009</t>
  </si>
  <si>
    <t>Mulch/bed refresh</t>
  </si>
  <si>
    <t>APP-010</t>
  </si>
  <si>
    <t>Staging</t>
  </si>
  <si>
    <t>Basic staging / furniture rental allowance</t>
  </si>
  <si>
    <t>Staging/rental classified mostly as Other</t>
  </si>
  <si>
    <t>Inspector</t>
  </si>
  <si>
    <t>General home inspection</t>
  </si>
  <si>
    <t>Professional/permit/waste cost classified as Other</t>
  </si>
  <si>
    <t>Sewer scope</t>
  </si>
  <si>
    <t>SOFT-003</t>
  </si>
  <si>
    <t>Radon test</t>
  </si>
  <si>
    <t>SOFT-004</t>
  </si>
  <si>
    <t>Engineer</t>
  </si>
  <si>
    <t>Structural engineering report</t>
  </si>
  <si>
    <t>SOFT-005</t>
  </si>
  <si>
    <t>Interior design consultation / finish plan</t>
  </si>
  <si>
    <t>SOFT-006</t>
  </si>
  <si>
    <t>Appraiser</t>
  </si>
  <si>
    <t>Appraisal / ARV validation</t>
  </si>
  <si>
    <t>SOFT-007</t>
  </si>
  <si>
    <t>Permit</t>
  </si>
  <si>
    <t>Permits / municipal fees allowance</t>
  </si>
  <si>
    <t>SOFT-008</t>
  </si>
  <si>
    <t>Waste</t>
  </si>
  <si>
    <t>Dumpster / haul-away</t>
  </si>
  <si>
    <t>SOFT-009</t>
  </si>
  <si>
    <t>Final construction cleaning</t>
  </si>
  <si>
    <t>Soft-cost cleaning: mostly labor</t>
  </si>
  <si>
    <t>SOFT-010</t>
  </si>
  <si>
    <t>Photography</t>
  </si>
  <si>
    <t>Listing photography / marketing prep</t>
  </si>
  <si>
    <t>Cost Code / Scope</t>
  </si>
  <si>
    <t>Scope Description</t>
  </si>
  <si>
    <t>Vendor</t>
  </si>
  <si>
    <t>Bid Status</t>
  </si>
  <si>
    <t>Quoted Total</t>
  </si>
  <si>
    <t>Start Lead (days)</t>
  </si>
  <si>
    <t>Duration (days)</t>
  </si>
  <si>
    <t>Warranty</t>
  </si>
  <si>
    <t>Licensed/Insured?</t>
  </si>
  <si>
    <t>Permit Included?</t>
  </si>
  <si>
    <t>Payment Terms</t>
  </si>
  <si>
    <t>Requested</t>
  </si>
  <si>
    <t>Unknown</t>
  </si>
  <si>
    <t>FLIP ECONOMICS &amp; MAXIMUM ALLOWABLE OFFER</t>
  </si>
  <si>
    <t>Metric</t>
  </si>
  <si>
    <t>Formula / Source</t>
  </si>
  <si>
    <t>Amount</t>
  </si>
  <si>
    <t>Project Inputs</t>
  </si>
  <si>
    <t>Selected Rehab Budget</t>
  </si>
  <si>
    <t>Scope Builder - Included Items</t>
  </si>
  <si>
    <t>Buying Closing Costs</t>
  </si>
  <si>
    <t>Purchase Price × input %</t>
  </si>
  <si>
    <t>Selling Costs</t>
  </si>
  <si>
    <t>ARV × input %</t>
  </si>
  <si>
    <t>Holding Costs</t>
  </si>
  <si>
    <t>Months × monthly holding</t>
  </si>
  <si>
    <t>Financing / Points</t>
  </si>
  <si>
    <t>Purchase + rehab + transaction + holding</t>
  </si>
  <si>
    <t>ARV − total project cost</t>
  </si>
  <si>
    <t>Profit ÷ ARV</t>
  </si>
  <si>
    <t>Profit ÷ total project cost</t>
  </si>
  <si>
    <t>ARV × rule − rehab</t>
  </si>
  <si>
    <t>Solve for purchase price using target profit</t>
  </si>
  <si>
    <t>Detailed MAO − Purchase Price</t>
  </si>
  <si>
    <t>Schedule Variance</t>
  </si>
  <si>
    <t>Actual Rehab Days − Planned Rehab Days</t>
  </si>
  <si>
    <t>Holding Cost / Day</t>
  </si>
  <si>
    <t>Monthly Holding Cost ÷ 30.44</t>
  </si>
  <si>
    <t>Rehab $ / sf</t>
  </si>
  <si>
    <t>Selected Rehab Budget ÷ Living Area</t>
  </si>
  <si>
    <t>Planned Contingency Reserve</t>
  </si>
  <si>
    <t>Budget incl. contingency − base rehab</t>
  </si>
  <si>
    <t>Contingency Used</t>
  </si>
  <si>
    <t>MAX(0, Actual Rehab − base rehab)</t>
  </si>
  <si>
    <t>Contingency Remaining</t>
  </si>
  <si>
    <t>Reserve − contingency used, floored at zero</t>
  </si>
  <si>
    <t>ARV Variance</t>
  </si>
  <si>
    <t>Actual Sale Price − ARV</t>
  </si>
  <si>
    <t>Actual-vs-Budget Variance $</t>
  </si>
  <si>
    <t>Actual Rehab − Budgeted Rehab</t>
  </si>
  <si>
    <t>Actual-vs-Budget Variance %</t>
  </si>
  <si>
    <t>Variance ÷ Budgeted Rehab</t>
  </si>
  <si>
    <t>Actual Holding Cost</t>
  </si>
  <si>
    <t>Holding Cost / Day × Total Project Days</t>
  </si>
  <si>
    <t>Actual Selling Costs</t>
  </si>
  <si>
    <t>Actual Sale Price × Selling Cost %</t>
  </si>
  <si>
    <t>Actual Total Project Cost</t>
  </si>
  <si>
    <t>Actual Net Profit</t>
  </si>
  <si>
    <t>Actual Sale Price − Actual Total Project Cost</t>
  </si>
  <si>
    <t>Profit / Day</t>
  </si>
  <si>
    <t>Actual Net Profit ÷ Total Project Days</t>
  </si>
  <si>
    <t>SOURCE NOTES &amp; COST LIMITATIONS</t>
  </si>
  <si>
    <t>Important</t>
  </si>
  <si>
    <t>The cost library is an acquisition-planning tool, not a bid. Costs vary by exact scope, house age, access, code requirements, hidden damage, material grade, and contractor availability.</t>
  </si>
  <si>
    <t>Market</t>
  </si>
  <si>
    <t>Anchored to St. Louis / Missouri where 2026 local guides were available. Other rows use rehab planning allowances and must be validated locally.</t>
  </si>
  <si>
    <t>Home inspectors identify conditions and safety concerns; they generally do not create a construction scope or guaranteed repair price. Specialty evaluation may be required.</t>
  </si>
  <si>
    <t>Use the appraiser primarily to validate current/as-repaired value and market reaction; do not treat appraisal adjustments as a contractor quote.</t>
  </si>
  <si>
    <t>Use designer estimates for finish selections, material level, functionality, and value-add scope; validate installed cost with contractors.</t>
  </si>
  <si>
    <t>Flipper Discipline</t>
  </si>
  <si>
    <t>Before a non-trivial acquisition, obtain specialty bids for structure, sewer, roof, HVAC, major electrical, plumbing, water intrusion, mold/asbestos/lead where applicable.</t>
  </si>
  <si>
    <t>Key 2026 Data Point</t>
  </si>
  <si>
    <t>URL</t>
  </si>
  <si>
    <t>Accessed</t>
  </si>
  <si>
    <t>Angi — St. Louis roof replacement</t>
  </si>
  <si>
    <t>Average $8,155; typical $5,433–$11,032</t>
  </si>
  <si>
    <t>2026-08-14</t>
  </si>
  <si>
    <t>Angi — St. Louis HVAC replacement</t>
  </si>
  <si>
    <t>Average $7,133; typical $4,755–$11,888</t>
  </si>
  <si>
    <t>Angi — St. Louis bathroom remodel</t>
  </si>
  <si>
    <t>Average $11,246; typical $6,423–$16,519</t>
  </si>
  <si>
    <t>Angi — St. Louis whole-house renovation</t>
  </si>
  <si>
    <t>Kitchen $13,800–$38,600; bathroom $6,190–$26,700</t>
  </si>
  <si>
    <t>Angi — St. Louis flooring</t>
  </si>
  <si>
    <t>Installed flooring roughly $2–$20/sf depending on material</t>
  </si>
  <si>
    <t>Angi — St. Louis window replacement</t>
  </si>
  <si>
    <t>Average $6,278; many projects $3,108–$9,479</t>
  </si>
  <si>
    <t>Angi — Foundation repair</t>
  </si>
  <si>
    <t>Average range roughly $2,225–$8,133 depending on damage</t>
  </si>
  <si>
    <t>Angi — St. Louis main water line</t>
  </si>
  <si>
    <t>Average $2,231; typical $1,214–$3,247; $50–$150/lf</t>
  </si>
  <si>
    <t>Angi — Water heater replacement</t>
  </si>
  <si>
    <t>Tank style roughly $881–$1,826; tankless $1,400–$3,900</t>
  </si>
  <si>
    <t>Angi — St. Louis water damage restoration</t>
  </si>
  <si>
    <t>Roughly $3–$7.50/sf</t>
  </si>
  <si>
    <t>Angi — St. Louis cabinet painting</t>
  </si>
  <si>
    <t>Roughly $30–$60 per linear foot</t>
  </si>
  <si>
    <t>Cost Codes</t>
  </si>
  <si>
    <t>Include</t>
  </si>
  <si>
    <t>YesNoUnknown</t>
  </si>
  <si>
    <t>Categories</t>
  </si>
  <si>
    <t>Bid Requested</t>
  </si>
  <si>
    <t>Received</t>
  </si>
  <si>
    <t>Selected</t>
  </si>
  <si>
    <t>Rejected</t>
  </si>
  <si>
    <t>Owner/Flipper</t>
  </si>
  <si>
    <t>In Progress</t>
  </si>
  <si>
    <t>Municipality</t>
  </si>
  <si>
    <t>Deferred</t>
  </si>
  <si>
    <t>REHAB COST BREAKDOWN DASHBOARD</t>
  </si>
  <si>
    <t>Material/labor/other allocations are planning estimates unless Cost Basis = Detailed Breakdown. Contractor quotes should be split when the vendor provides detail.</t>
  </si>
  <si>
    <t>COST QUALITY &amp; COVERAGE</t>
  </si>
  <si>
    <t>Base Rehab Before Contingency</t>
  </si>
  <si>
    <t>Total Rehab incl. Contingency</t>
  </si>
  <si>
    <t>Detailed Breakdown Coverage</t>
  </si>
  <si>
    <t>Contractor Quote Coverage</t>
  </si>
  <si>
    <t>Planning Allowance Coverage</t>
  </si>
  <si>
    <t>COST COMPONENT SUMMARY</t>
  </si>
  <si>
    <t>MATERIAL / LABOR / OTHER BY CATEGORY</t>
  </si>
  <si>
    <t>Component</t>
  </si>
  <si>
    <t>Cost</t>
  </si>
  <si>
    <t>% of Base</t>
  </si>
  <si>
    <t>% of Total Rehab</t>
  </si>
  <si>
    <t>Material</t>
  </si>
  <si>
    <t>Labor</t>
  </si>
  <si>
    <t>Other</t>
  </si>
  <si>
    <t>Contingency</t>
  </si>
  <si>
    <t>BALLPARK vs DETAILED COST</t>
  </si>
  <si>
    <t>Comparable variance uses only included items with a detailed takeoff. Ballpark cost and detailed cost both include contingency; Estimate Maturity is dollar-weighted detailed coverage.</t>
  </si>
  <si>
    <t>Detailed Cost</t>
  </si>
  <si>
    <t>Variance</t>
  </si>
  <si>
    <t>Estimate</t>
  </si>
  <si>
    <t>LABOR-TO-MATERIAL COST RATIO</t>
  </si>
  <si>
    <t>Comparison</t>
  </si>
  <si>
    <t>Ratio</t>
  </si>
  <si>
    <t>Material baseline</t>
  </si>
  <si>
    <t>Labor per $1 material</t>
  </si>
  <si>
    <t>HOUSE FLIP | EXECUTIVE OVERVIEW</t>
  </si>
  <si>
    <t>Acquisition • Rehab • Risk • Profitability | Dynamic view of the current property model</t>
  </si>
  <si>
    <t>Rehab Budget</t>
  </si>
  <si>
    <t>Other Project Costs</t>
  </si>
  <si>
    <t>REHAB BUDGET BY CATEGORY</t>
  </si>
  <si>
    <t>DEAL ECONOMICS</t>
  </si>
  <si>
    <t>MANAGEMENT SNAPSHOT</t>
  </si>
  <si>
    <t>Interpretation</t>
  </si>
  <si>
    <t>Budgeted rehab intensity per living square foot</t>
  </si>
  <si>
    <t>Daily carrying-cost penalty</t>
  </si>
  <si>
    <t>Capital productivity</t>
  </si>
  <si>
    <t>Positive = schedule slippage</t>
  </si>
  <si>
    <t>Positive = resale above ARV</t>
  </si>
  <si>
    <t>Actual vs Budget</t>
  </si>
  <si>
    <t>Positive = rehab overrun</t>
  </si>
  <si>
    <t>Decision-support dashboard. Replace worked-example inputs with property-specific inspections, takeoffs, contractor bids, financing assumptions, and actual sale data before making an investment decision.</t>
  </si>
  <si>
    <t>HOUSE FLIP | COST &amp; VARIANCE ANALYTICS</t>
  </si>
  <si>
    <t>Ballpark vs detailed estimate • Cost structure • Variance • Estimate quality</t>
  </si>
  <si>
    <t>Ballpark</t>
  </si>
  <si>
    <t>Detailed</t>
  </si>
  <si>
    <t>COST COMPOSITION</t>
  </si>
  <si>
    <t>BALLPARK vs DETAILED BY CATEGORY</t>
  </si>
  <si>
    <t>Material Baseline</t>
  </si>
  <si>
    <t>Labor per $1 Material</t>
  </si>
  <si>
    <t>VARIANCE BY CATEGORY</t>
  </si>
  <si>
    <t>LABOR-TO-MATERIAL RATIO</t>
  </si>
  <si>
    <t>ESTIMATE QUALITY</t>
  </si>
  <si>
    <t>Meaning</t>
  </si>
  <si>
    <t>Share backed by detailed takeoff</t>
  </si>
  <si>
    <t>Share backed by vendor quote</t>
  </si>
  <si>
    <t>Share still on planning allowance</t>
  </si>
  <si>
    <t>Baseline for comparable detailed items</t>
  </si>
  <si>
    <t>Comparable Detailed</t>
  </si>
  <si>
    <t>Detailed value for the same items</t>
  </si>
  <si>
    <t>Detailed vs comparable ballpark</t>
  </si>
  <si>
    <t>Positive variance means detailed cost is above ballpark; negative variance means detailed cost is lower. Large positive variances deserve scope review before acquisition.</t>
  </si>
  <si>
    <t>HOUSE FLIP | PROJECT PERFORMANCE</t>
  </si>
  <si>
    <t>Schedule</t>
  </si>
  <si>
    <t>Days</t>
  </si>
  <si>
    <t>Schedule • Actual cost • Resale performance • Profit velocity</t>
  </si>
  <si>
    <t>Planned Rehab</t>
  </si>
  <si>
    <t>Actual Rehab</t>
  </si>
  <si>
    <t>Rehab Cost</t>
  </si>
  <si>
    <t>Budgeted Rehab</t>
  </si>
  <si>
    <t>Resale</t>
  </si>
  <si>
    <t>SCHEDULE PERFORMANCE</t>
  </si>
  <si>
    <t>COST PERFORMANCE</t>
  </si>
  <si>
    <t>Profit</t>
  </si>
  <si>
    <t>RESALE PERFORMANCE</t>
  </si>
  <si>
    <t>PROFIT PERFORMANCE</t>
  </si>
  <si>
    <t>PROJECT PERFORMANCE SCORECARD</t>
  </si>
  <si>
    <t>Plan / Benchmark</t>
  </si>
  <si>
    <t>Actual</t>
  </si>
  <si>
    <t>Direction</t>
  </si>
  <si>
    <t>Management Meaning</t>
  </si>
  <si>
    <t>Rehab Days</t>
  </si>
  <si>
    <t>Lower is better</t>
  </si>
  <si>
    <t>Schedule control and carrying-cost exposure</t>
  </si>
  <si>
    <t>Scope / procurement / contractor cost control</t>
  </si>
  <si>
    <t>Sale Price vs ARV</t>
  </si>
  <si>
    <t>Higher is better</t>
  </si>
  <si>
    <t>Accuracy of ARV and resale execution</t>
  </si>
  <si>
    <t>Net Profit</t>
  </si>
  <si>
    <t>Overall economic performance of the flip</t>
  </si>
  <si>
    <t>—</t>
  </si>
  <si>
    <t>Capital productivity and cycle-time efficiency</t>
  </si>
  <si>
    <t>Remaining protection against unknown conditions</t>
  </si>
  <si>
    <t>$0 minimum</t>
  </si>
  <si>
    <t>Positive is better</t>
  </si>
  <si>
    <t>Purchase discipline relative to detailed 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</si>
</sst>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[Red]\(\$#,##0\);\-"/>
    <numFmt numFmtId="165" formatCode="0.0%"/>
    <numFmt numFmtId="166" formatCode="#,##0;[Red]\(#,##0\);\-"/>
    <numFmt numFmtId="167" formatCode="0.00\x"/>
    <numFmt numFmtId="168" formatCode="\$#,##0.00;[Red]\(\$#,##0.00\);\-"/>
    <numFmt numFmtId="169" formatCode="\$0.00"/>
    <numFmt numFmtId="170" formatCode="0\ &quot;days&quot;"/>
  </numFmts>
  <fonts count="3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6"/>
      <color rgb="FFFFFFFF"/>
      <name val="Carlito"/>
    </font>
    <font>
      <b/>
      <sz val="13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sz val="10"/>
      <color rgb="FF0000FF"/>
      <name val="Aptos"/>
    </font>
    <font>
      <sz val="10"/>
      <color rgb="FF008000"/>
      <name val="Aptos"/>
    </font>
    <font>
      <sz val="10"/>
      <color rgb="FF000000"/>
      <name val="Aptos"/>
    </font>
    <font>
      <b/>
      <sz val="14"/>
      <color rgb="FFFFFFFF"/>
      <name val="Aptos"/>
    </font>
    <font>
      <b/>
      <sz val="16"/>
      <color rgb="FFFFFFFF"/>
      <name val="Aptos"/>
    </font>
    <font>
      <b/>
      <sz val="13"/>
      <name val="Aptos"/>
    </font>
    <font>
      <b/>
      <sz val="12"/>
      <color rgb="FFFFFFFF"/>
      <name val="Carlito"/>
    </font>
    <font>
      <b/>
      <sz val="11"/>
      <name val="Carlito"/>
    </font>
    <font>
      <b/>
      <sz val="12"/>
      <color rgb="FFFFFFFF"/>
      <name val="Aptos"/>
    </font>
    <font>
      <b/>
      <sz val="12"/>
      <name val="Aptos"/>
    </font>
    <font>
      <sz val="10"/>
      <color rgb="FF1F2937"/>
      <name val="Aptos"/>
    </font>
    <font>
      <b/>
      <sz val="20"/>
      <color rgb="FFFFFFFF"/>
      <name val="Aptos"/>
    </font>
    <font>
      <b/>
      <sz val="14"/>
      <color rgb="FF1F2937"/>
      <name val="Aptos"/>
    </font>
    <font>
      <b/>
      <sz val="12"/>
      <color rgb="FF0F9ED5"/>
      <name val="Aptos"/>
    </font>
    <font>
      <b/>
      <sz val="12"/>
      <color rgb="FFA02B93"/>
      <name val="Aptos"/>
    </font>
    <font>
      <b/>
      <sz val="12"/>
      <color rgb="FFE97132"/>
      <name val="Aptos"/>
    </font>
    <font>
      <b/>
      <sz val="11"/>
      <color rgb="FFFFFFFF"/>
      <name val="Aptos"/>
    </font>
    <font>
      <b/>
      <sz val="10"/>
      <color rgb="FF0E2841"/>
      <name val="Aptos"/>
    </font>
    <font>
      <b/>
      <sz val="10"/>
      <color rgb="FFA02B93"/>
      <name val="Aptos"/>
    </font>
    <font>
      <b/>
      <sz val="10"/>
      <color rgb="FF1F2937"/>
      <name val="Aptos"/>
    </font>
    <font>
      <sz val="9"/>
      <color rgb="FFFFFFFF"/>
      <name val="Aptos"/>
    </font>
  </fonts>
  <fills count="2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0E2841"/>
      </patternFill>
    </fill>
    <fill>
      <patternFill patternType="solid">
        <fgColor rgb="FF156082"/>
      </patternFill>
    </fill>
    <fill>
      <patternFill patternType="solid">
        <fgColor rgb="FFA02B93"/>
      </patternFill>
    </fill>
    <fill>
      <patternFill patternType="solid">
        <fgColor rgb="FF196B24"/>
      </patternFill>
    </fill>
    <fill>
      <patternFill patternType="solid">
        <fgColor rgb="FF0F9ED5"/>
      </patternFill>
    </fill>
    <fill>
      <patternFill patternType="solid">
        <fgColor rgb="FFE97132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9">
    <xf numFmtId="0" fontId="0" fillId="0" borderId="0" xfId="0" applyBorder="1"/>
    <xf numFmtId="0" fontId="0" fillId="0" borderId="1" xfId="0"/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0" fontId="7" fillId="0" borderId="0" xfId="0" applyFont="1" applyBorder="1"/>
    <xf numFmtId="0" fontId="6" fillId="2" borderId="0" xfId="0" applyFont="1" applyFill="1" applyBorder="1"/>
    <xf numFmtId="0" fontId="8" fillId="0" borderId="0" xfId="0" applyFont="1" applyBorder="1"/>
    <xf numFmtId="0" fontId="9" fillId="3" borderId="0" xfId="0" applyFont="1" applyFill="1" applyBorder="1"/>
    <xf numFmtId="164" fontId="9" fillId="3" borderId="0" xfId="0" applyNumberFormat="1" applyFont="1" applyFill="1" applyBorder="1"/>
    <xf numFmtId="165" fontId="9" fillId="3" borderId="0" xfId="0" applyNumberFormat="1" applyFont="1" applyFill="1" applyBorder="1"/>
    <xf numFmtId="166" fontId="9" fillId="3" borderId="0" xfId="0" applyNumberFormat="1" applyFont="1" applyFill="1" applyBorder="1"/>
    <xf numFmtId="0" fontId="7" fillId="0" borderId="0" xfId="0" applyFont="1" applyBorder="1" applyAlignment="1">
      <alignment wrapText="1"/>
    </xf>
    <xf numFmtId="0" fontId="6" fillId="2" borderId="0" xfId="0" applyFont="1" applyFill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4" fontId="10" fillId="0" borderId="0" xfId="0" applyNumberFormat="1" applyFont="1" applyBorder="1" applyAlignment="1">
      <alignment wrapText="1"/>
    </xf>
    <xf numFmtId="164" fontId="9" fillId="0" borderId="0" xfId="0" applyNumberFormat="1" applyFont="1" applyBorder="1" applyAlignment="1">
      <alignment wrapText="1"/>
    </xf>
    <xf numFmtId="164" fontId="11" fillId="0" borderId="0" xfId="0" applyNumberFormat="1" applyFont="1" applyBorder="1" applyAlignment="1">
      <alignment wrapText="1"/>
    </xf>
    <xf numFmtId="165" fontId="11" fillId="0" borderId="0" xfId="0" applyNumberFormat="1" applyFont="1" applyBorder="1" applyAlignment="1">
      <alignment wrapText="1"/>
    </xf>
    <xf numFmtId="164" fontId="7" fillId="0" borderId="0" xfId="0" applyNumberFormat="1" applyFont="1" applyBorder="1" applyAlignment="1">
      <alignment wrapText="1"/>
    </xf>
    <xf numFmtId="0" fontId="9" fillId="0" borderId="0" xfId="0" applyFont="1" applyBorder="1"/>
    <xf numFmtId="164" fontId="9" fillId="0" borderId="0" xfId="0" applyNumberFormat="1" applyFont="1" applyBorder="1"/>
    <xf numFmtId="164" fontId="11" fillId="0" borderId="0" xfId="0" applyNumberFormat="1" applyFont="1" applyBorder="1"/>
    <xf numFmtId="165" fontId="11" fillId="0" borderId="0" xfId="0" applyNumberFormat="1" applyFont="1" applyBorder="1"/>
    <xf numFmtId="0" fontId="8" fillId="5" borderId="0" xfId="0" applyFont="1" applyFill="1" applyBorder="1"/>
    <xf numFmtId="164" fontId="7" fillId="0" borderId="0" xfId="0" applyNumberFormat="1" applyFont="1" applyBorder="1"/>
    <xf numFmtId="165" fontId="7" fillId="0" borderId="0" xfId="0" applyNumberFormat="1" applyFont="1" applyBorder="1"/>
    <xf numFmtId="0" fontId="8" fillId="0" borderId="0" xfId="0" applyFont="1" applyBorder="1" applyAlignment="1">
      <alignment wrapText="1"/>
    </xf>
    <xf numFmtId="0" fontId="6" fillId="6" borderId="0" xfId="0" applyFont="1" applyFill="1" applyBorder="1" applyAlignment="1">
      <alignment wrapText="1"/>
    </xf>
    <xf numFmtId="0" fontId="1" fillId="6" borderId="0" xfId="0" applyFont="1" applyFill="1" applyBorder="1" applyAlignment="1">
      <alignment wrapText="1"/>
    </xf>
    <xf numFmtId="0" fontId="3" fillId="7" borderId="0" xfId="0" applyFont="1" applyFill="1" applyBorder="1" applyAlignment="1">
      <alignment wrapText="1"/>
    </xf>
    <xf numFmtId="164" fontId="3" fillId="7" borderId="0" xfId="0" applyNumberFormat="1" applyFont="1" applyFill="1" applyBorder="1" applyAlignment="1">
      <alignment wrapText="1"/>
    </xf>
    <xf numFmtId="165" fontId="0" fillId="0" borderId="0" xfId="0" applyNumberFormat="1" applyBorder="1" applyAlignment="1">
      <alignment wrapText="1"/>
    </xf>
    <xf numFmtId="0" fontId="2" fillId="10" borderId="0" xfId="0" applyFont="1" applyFill="1" applyBorder="1" applyAlignment="1">
      <alignment wrapText="1"/>
    </xf>
    <xf numFmtId="0" fontId="16" fillId="12" borderId="0" xfId="0" applyFont="1" applyFill="1" applyBorder="1" applyAlignment="1">
      <alignment horizontal="center"/>
    </xf>
    <xf numFmtId="167" fontId="0" fillId="0" borderId="0" xfId="0" applyNumberFormat="1" applyBorder="1"/>
    <xf numFmtId="1" fontId="9" fillId="15" borderId="0" xfId="0" applyNumberFormat="1" applyFont="1" applyFill="1" applyBorder="1"/>
    <xf numFmtId="164" fontId="9" fillId="15" borderId="0" xfId="0" applyNumberFormat="1" applyFont="1" applyFill="1" applyBorder="1"/>
    <xf numFmtId="0" fontId="8" fillId="16" borderId="0" xfId="0" applyFont="1" applyFill="1" applyBorder="1"/>
    <xf numFmtId="1" fontId="7" fillId="0" borderId="0" xfId="0" applyNumberFormat="1" applyFont="1" applyBorder="1"/>
    <xf numFmtId="168" fontId="7" fillId="0" borderId="0" xfId="0" applyNumberFormat="1" applyFont="1" applyBorder="1"/>
    <xf numFmtId="169" fontId="7" fillId="0" borderId="0" xfId="0" applyNumberFormat="1" applyFont="1" applyBorder="1"/>
    <xf numFmtId="0" fontId="19" fillId="18" borderId="0" xfId="0" applyFont="1" applyFill="1" applyBorder="1"/>
    <xf numFmtId="0" fontId="29" fillId="19" borderId="0" xfId="0" applyFont="1" applyFill="1" applyBorder="1" applyAlignment="1">
      <alignment horizontal="center" vertical="center" wrapText="1"/>
    </xf>
    <xf numFmtId="0" fontId="26" fillId="26" borderId="0" xfId="0" applyFont="1" applyFill="1" applyBorder="1" applyAlignment="1">
      <alignment wrapText="1"/>
    </xf>
    <xf numFmtId="164" fontId="27" fillId="26" borderId="0" xfId="0" applyNumberFormat="1" applyFont="1" applyFill="1" applyBorder="1" applyAlignment="1">
      <alignment horizontal="center" wrapText="1"/>
    </xf>
    <xf numFmtId="0" fontId="27" fillId="26" borderId="0" xfId="0" applyFont="1" applyFill="1" applyBorder="1" applyAlignment="1">
      <alignment horizontal="center" wrapText="1"/>
    </xf>
    <xf numFmtId="0" fontId="19" fillId="26" borderId="0" xfId="0" applyFont="1" applyFill="1" applyBorder="1" applyAlignment="1">
      <alignment wrapText="1"/>
    </xf>
    <xf numFmtId="168" fontId="27" fillId="26" borderId="0" xfId="0" applyNumberFormat="1" applyFont="1" applyFill="1" applyBorder="1" applyAlignment="1">
      <alignment horizontal="center" wrapText="1"/>
    </xf>
    <xf numFmtId="170" fontId="27" fillId="26" borderId="0" xfId="0" applyNumberFormat="1" applyFont="1" applyFill="1" applyBorder="1" applyAlignment="1">
      <alignment horizontal="center" wrapText="1"/>
    </xf>
    <xf numFmtId="0" fontId="25" fillId="19" borderId="0" xfId="0" applyFont="1" applyFill="1" applyBorder="1"/>
    <xf numFmtId="0" fontId="6" fillId="20" borderId="0" xfId="0" applyFont="1" applyFill="1" applyBorder="1" applyAlignment="1">
      <alignment horizontal="center" wrapText="1"/>
    </xf>
    <xf numFmtId="0" fontId="12" fillId="23" borderId="0" xfId="0" applyFont="1" applyFill="1" applyBorder="1" applyAlignment="1">
      <alignment horizontal="center" vertical="center" wrapText="1"/>
    </xf>
    <xf numFmtId="0" fontId="12" fillId="24" borderId="0" xfId="0" applyFont="1" applyFill="1" applyBorder="1" applyAlignment="1">
      <alignment horizontal="center" vertical="center" wrapText="1"/>
    </xf>
    <xf numFmtId="0" fontId="12" fillId="20" borderId="0" xfId="0" applyFont="1" applyFill="1" applyBorder="1" applyAlignment="1">
      <alignment horizontal="center" vertical="center" wrapText="1"/>
    </xf>
    <xf numFmtId="0" fontId="12" fillId="21" borderId="0" xfId="0" applyFont="1" applyFill="1" applyBorder="1" applyAlignment="1">
      <alignment horizontal="center" vertical="center" wrapText="1"/>
    </xf>
    <xf numFmtId="0" fontId="21" fillId="25" borderId="0" xfId="0" applyFont="1" applyFill="1" applyBorder="1" applyAlignment="1">
      <alignment horizontal="center" vertical="center" wrapText="1"/>
    </xf>
    <xf numFmtId="0" fontId="22" fillId="26" borderId="0" xfId="0" applyFont="1" applyFill="1" applyBorder="1" applyAlignment="1">
      <alignment horizontal="center" vertical="center" wrapText="1"/>
    </xf>
    <xf numFmtId="0" fontId="23" fillId="26" borderId="0" xfId="0" applyFont="1" applyFill="1" applyBorder="1" applyAlignment="1">
      <alignment horizontal="center" vertical="center" wrapText="1"/>
    </xf>
    <xf numFmtId="0" fontId="24" fillId="26" borderId="0" xfId="0" applyFont="1" applyFill="1" applyBorder="1" applyAlignment="1">
      <alignment horizontal="center" vertical="center" wrapText="1"/>
    </xf>
    <xf numFmtId="0" fontId="20" fillId="19" borderId="0" xfId="0" applyFont="1" applyFill="1" applyBorder="1" applyAlignment="1">
      <alignment vertical="center"/>
    </xf>
    <xf numFmtId="0" fontId="6" fillId="20" borderId="0" xfId="0" applyFont="1" applyFill="1" applyBorder="1" applyAlignment="1">
      <alignment vertical="center"/>
    </xf>
    <xf numFmtId="0" fontId="12" fillId="19" borderId="0" xfId="0" applyFont="1" applyFill="1" applyBorder="1" applyAlignment="1">
      <alignment horizontal="center" vertical="center" wrapText="1"/>
    </xf>
    <xf numFmtId="0" fontId="12" fillId="22" borderId="0" xfId="0" applyFont="1" applyFill="1" applyBorder="1" applyAlignment="1">
      <alignment horizontal="center" vertical="center" wrapText="1"/>
    </xf>
    <xf numFmtId="0" fontId="8" fillId="15" borderId="0" xfId="0" applyFont="1" applyFill="1" applyBorder="1" applyAlignment="1">
      <alignment vertical="center" wrapText="1"/>
    </xf>
    <xf numFmtId="0" fontId="18" fillId="17" borderId="0" xfId="0" applyFont="1" applyFill="1" applyBorder="1" applyAlignment="1">
      <alignment horizontal="center" vertical="center" wrapText="1"/>
    </xf>
    <xf numFmtId="0" fontId="13" fillId="2" borderId="1" xfId="0" applyFont="1" applyFill="1" applyAlignment="1">
      <alignment horizontal="center"/>
    </xf>
    <xf numFmtId="0" fontId="0" fillId="0" borderId="1" xfId="0"/>
    <xf numFmtId="164" fontId="7" fillId="0" borderId="1" xfId="0" applyNumberFormat="1" applyFont="1"/>
    <xf numFmtId="0" fontId="7" fillId="0" borderId="1" xfId="0" applyFont="1"/>
    <xf numFmtId="0" fontId="17" fillId="14" borderId="0" xfId="0" applyFont="1" applyFill="1" applyBorder="1" applyAlignment="1">
      <alignment horizontal="center"/>
    </xf>
    <xf numFmtId="0" fontId="8" fillId="4" borderId="1" xfId="0" applyFont="1" applyFill="1" applyAlignment="1">
      <alignment horizontal="center" vertical="center" wrapText="1"/>
    </xf>
    <xf numFmtId="0" fontId="0" fillId="0" borderId="0" xfId="0" applyBorder="1"/>
    <xf numFmtId="0" fontId="6" fillId="2" borderId="1" xfId="0" applyFont="1" applyFill="1"/>
    <xf numFmtId="0" fontId="8" fillId="8" borderId="1" xfId="0" applyFont="1" applyFill="1" applyAlignment="1">
      <alignment horizontal="center" wrapText="1"/>
    </xf>
    <xf numFmtId="165" fontId="7" fillId="0" borderId="1" xfId="0" applyNumberFormat="1" applyFont="1"/>
    <xf numFmtId="0" fontId="8" fillId="3" borderId="1" xfId="0" applyFont="1" applyFill="1" applyAlignment="1">
      <alignment wrapText="1"/>
    </xf>
    <xf numFmtId="0" fontId="14" fillId="4" borderId="1" xfId="0" applyFont="1" applyFill="1" applyAlignment="1">
      <alignment horizontal="center" vertical="center" wrapText="1"/>
    </xf>
    <xf numFmtId="0" fontId="12" fillId="2" borderId="1" xfId="0" applyFont="1" applyFill="1" applyAlignment="1">
      <alignment horizontal="center"/>
    </xf>
    <xf numFmtId="0" fontId="6" fillId="14" borderId="0" xfId="0" applyFont="1" applyFill="1" applyBorder="1" applyAlignment="1">
      <alignment horizontal="center"/>
    </xf>
    <xf numFmtId="0" fontId="6" fillId="14" borderId="0" xfId="0" applyFont="1" applyFill="1" applyBorder="1" applyAlignment="1">
      <alignment horizontal="left" wrapText="1"/>
    </xf>
    <xf numFmtId="0" fontId="1" fillId="14" borderId="0" xfId="0" applyFont="1" applyFill="1" applyBorder="1" applyAlignment="1">
      <alignment horizontal="left"/>
    </xf>
    <xf numFmtId="0" fontId="12" fillId="2" borderId="1" xfId="0" applyFont="1" applyFill="1"/>
    <xf numFmtId="0" fontId="4" fillId="6" borderId="1" xfId="0" applyFont="1" applyFill="1" applyAlignment="1">
      <alignment horizontal="center" wrapText="1"/>
    </xf>
    <xf numFmtId="0" fontId="0" fillId="0" borderId="1" xfId="0" applyAlignment="1">
      <alignment wrapText="1"/>
    </xf>
    <xf numFmtId="0" fontId="5" fillId="9" borderId="1" xfId="0" applyFont="1" applyFill="1" applyAlignment="1">
      <alignment horizontal="center" vertical="center" wrapText="1"/>
    </xf>
    <xf numFmtId="0" fontId="1" fillId="6" borderId="1" xfId="0" applyFont="1" applyFill="1" applyAlignment="1">
      <alignment wrapText="1"/>
    </xf>
    <xf numFmtId="0" fontId="15" fillId="11" borderId="1" xfId="0" applyFont="1" applyFill="1" applyAlignment="1">
      <alignment horizontal="center" vertical="center"/>
    </xf>
    <xf numFmtId="0" fontId="2" fillId="7" borderId="1" xfId="0" applyFont="1" applyFill="1" applyAlignment="1">
      <alignment horizontal="center" wrapText="1"/>
    </xf>
    <xf numFmtId="0" fontId="16" fillId="13" borderId="1" xfId="0" applyFont="1" applyFill="1" applyAlignment="1">
      <alignment vertical="center" wrapText="1"/>
    </xf>
    <xf numFmtId="165" fontId="0" fillId="0" borderId="1" xfId="0" applyNumberFormat="1" applyAlignment="1">
      <alignment wrapText="1"/>
    </xf>
    <xf numFmtId="164" fontId="0" fillId="0" borderId="1" xfId="0" applyNumberFormat="1" applyAlignment="1">
      <alignment wrapText="1"/>
    </xf>
    <xf numFmtId="0" fontId="28" fillId="25" borderId="0" xfId="0" applyFont="1" applyFill="1" applyBorder="1" applyAlignment="1">
      <alignment vertical="center" wrapText="1"/>
    </xf>
    <xf numFmtId="165" fontId="27" fillId="26" borderId="0" xfId="0" applyNumberFormat="1" applyFont="1" applyFill="1" applyBorder="1" applyAlignment="1">
      <alignment horizontal="center" wrapText="1"/>
    </xf>
    <xf numFmtId="0" fontId="6" fillId="20" borderId="0" xfId="0" applyFont="1" applyFill="1" applyBorder="1" applyAlignment="1">
      <alignment horizontal="center"/>
    </xf>
    <xf numFmtId="164" fontId="19" fillId="26" borderId="0" xfId="0" applyNumberFormat="1" applyFont="1" applyFill="1" applyBorder="1" applyAlignment="1">
      <alignment horizontal="center" wrapText="1"/>
    </xf>
    <xf numFmtId="0" fontId="19" fillId="26" borderId="0" xfId="0" applyFont="1" applyFill="1" applyBorder="1" applyAlignment="1">
      <alignment horizontal="center" wrapText="1"/>
    </xf>
    <xf numFmtId="168" fontId="19" fillId="26" borderId="0" xfId="0" applyNumberFormat="1" applyFont="1" applyFill="1" applyBorder="1" applyAlignment="1">
      <alignment horizontal="center" wrapText="1"/>
    </xf>
    <xf numFmtId="1" fontId="19" fillId="26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22">
    <dxf>
      <font>
        <b/>
        <color rgb="FFC00000"/>
      </font>
      <fill>
        <patternFill patternType="solid">
          <bgColor rgb="FFFCE8E6"/>
        </patternFill>
      </fill>
    </dxf>
    <dxf>
      <font>
        <b/>
        <color rgb="FF196B24"/>
      </font>
      <fill>
        <patternFill patternType="solid">
          <bgColor rgb="FFE2F0D9"/>
        </patternFill>
      </fill>
    </dxf>
    <dxf>
      <font>
        <b/>
        <color rgb="FF196B24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b/>
        <color rgb="FF196B24"/>
      </font>
      <fill>
        <patternFill patternType="solid">
          <bgColor rgb="FFE2F0D9"/>
        </patternFill>
      </fill>
    </dxf>
    <dxf>
      <font>
        <b/>
        <color rgb="FF196B24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Included Rehab Budget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ln>
              <a:prstDash val="solid"/>
            </a:ln>
          </c:spPr>
          <c:invertIfNegative val="1"/>
          <c:cat>
            <c:strRef>
              <c:f>Dashboard!$A$18:$A$31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Dashboard!$B$18:$B$31</c:f>
              <c:numCache>
                <c:formatCode>\$#,##0;[Red]\(\$#,##0\);\-</c:formatCode>
                <c:ptCount val="14"/>
                <c:pt idx="0">
                  <c:v>495.00000000000006</c:v>
                </c:pt>
                <c:pt idx="1">
                  <c:v>0</c:v>
                </c:pt>
                <c:pt idx="2">
                  <c:v>13970.000000000002</c:v>
                </c:pt>
                <c:pt idx="3">
                  <c:v>3960.0000000000005</c:v>
                </c:pt>
                <c:pt idx="4">
                  <c:v>2530</c:v>
                </c:pt>
                <c:pt idx="5">
                  <c:v>8360</c:v>
                </c:pt>
                <c:pt idx="6">
                  <c:v>8690</c:v>
                </c:pt>
                <c:pt idx="7">
                  <c:v>5060</c:v>
                </c:pt>
                <c:pt idx="8">
                  <c:v>26950.000000000004</c:v>
                </c:pt>
                <c:pt idx="9">
                  <c:v>8250</c:v>
                </c:pt>
                <c:pt idx="10">
                  <c:v>10890</c:v>
                </c:pt>
                <c:pt idx="11">
                  <c:v>880</c:v>
                </c:pt>
                <c:pt idx="12">
                  <c:v>715.00000000000011</c:v>
                </c:pt>
                <c:pt idx="13">
                  <c:v>5940.0000000000009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7-4985-9676-06E6AC15F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Included Budget by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ln>
              <a:prstDash val="solid"/>
            </a:ln>
          </c:spPr>
          <c:invertIfNegative val="1"/>
          <c:cat>
            <c:strRef>
              <c:f>Dashboard!$H$10:$H$14</c:f>
              <c:strCache>
                <c:ptCount val="5"/>
                <c:pt idx="0">
                  <c:v>P0 - Immediate/Safety</c:v>
                </c:pt>
                <c:pt idx="1">
                  <c:v>P1 - Before Offer</c:v>
                </c:pt>
                <c:pt idx="2">
                  <c:v>P2 - Before Sale</c:v>
                </c:pt>
                <c:pt idx="3">
                  <c:v>P3 - Value Add</c:v>
                </c:pt>
                <c:pt idx="4">
                  <c:v>P4 - Optional</c:v>
                </c:pt>
              </c:strCache>
            </c:strRef>
          </c:cat>
          <c:val>
            <c:numRef>
              <c:f>Dashboard!$I$10:$I$14</c:f>
              <c:numCache>
                <c:formatCode>\$#,##0;[Red]\(\$#,##0\);\-</c:formatCode>
                <c:ptCount val="5"/>
                <c:pt idx="0">
                  <c:v>0</c:v>
                </c:pt>
                <c:pt idx="1">
                  <c:v>24695</c:v>
                </c:pt>
                <c:pt idx="2">
                  <c:v>14630</c:v>
                </c:pt>
                <c:pt idx="3">
                  <c:v>57365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8-4BE2-B883-AFCA9C7AE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Rehab Cost Components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</c:v>
          </c:tx>
          <c:spPr>
            <a:ln>
              <a:prstDash val="solid"/>
            </a:ln>
          </c:spPr>
          <c:invertIfNegative val="1"/>
          <c:cat>
            <c:strRef>
              <c:f>'Cost Dashboard'!$A$22:$A$25</c:f>
              <c:strCache>
                <c:ptCount val="4"/>
                <c:pt idx="0">
                  <c:v>Material</c:v>
                </c:pt>
                <c:pt idx="1">
                  <c:v>Labor</c:v>
                </c:pt>
                <c:pt idx="2">
                  <c:v>Other</c:v>
                </c:pt>
                <c:pt idx="3">
                  <c:v>Contingency</c:v>
                </c:pt>
              </c:strCache>
            </c:strRef>
          </c:cat>
          <c:val>
            <c:numRef>
              <c:f>'Cost Dashboard'!$B$22:$B$25</c:f>
              <c:numCache>
                <c:formatCode>\$#,##0;[Red]\(\$#,##0\);\-</c:formatCode>
                <c:ptCount val="4"/>
                <c:pt idx="0">
                  <c:v>42769</c:v>
                </c:pt>
                <c:pt idx="1">
                  <c:v>32830</c:v>
                </c:pt>
                <c:pt idx="2">
                  <c:v>12301</c:v>
                </c:pt>
                <c:pt idx="3">
                  <c:v>8790.0000000000073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5-41EE-A13A-4044A93D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Material / Labor / Other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Material</c:v>
          </c:tx>
          <c:spPr>
            <a:ln>
              <a:prstDash val="solid"/>
            </a:ln>
          </c:spPr>
          <c:invertIfNegative val="1"/>
          <c:cat>
            <c:strRef>
              <c:f>'Cost Dashboard'!$F$22:$F$35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'Cost Dashboard'!$G$22:$G$35</c:f>
              <c:numCache>
                <c:formatCode>\$#,##0;[Red]\(\$#,##0\);\-</c:formatCode>
                <c:ptCount val="14"/>
                <c:pt idx="0">
                  <c:v>150</c:v>
                </c:pt>
                <c:pt idx="1">
                  <c:v>0</c:v>
                </c:pt>
                <c:pt idx="2">
                  <c:v>6800</c:v>
                </c:pt>
                <c:pt idx="3">
                  <c:v>1450</c:v>
                </c:pt>
                <c:pt idx="4">
                  <c:v>1000</c:v>
                </c:pt>
                <c:pt idx="5">
                  <c:v>3894.0000000000005</c:v>
                </c:pt>
                <c:pt idx="6">
                  <c:v>4600</c:v>
                </c:pt>
                <c:pt idx="7">
                  <c:v>1575</c:v>
                </c:pt>
                <c:pt idx="8">
                  <c:v>14000</c:v>
                </c:pt>
                <c:pt idx="9">
                  <c:v>1800</c:v>
                </c:pt>
                <c:pt idx="10">
                  <c:v>4200</c:v>
                </c:pt>
                <c:pt idx="11">
                  <c:v>0</c:v>
                </c:pt>
                <c:pt idx="12">
                  <c:v>0</c:v>
                </c:pt>
                <c:pt idx="13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D-4D7E-8A93-DA0BF82A283C}"/>
            </c:ext>
          </c:extLst>
        </c:ser>
        <c:ser>
          <c:idx val="1"/>
          <c:order val="1"/>
          <c:tx>
            <c:v>Labor</c:v>
          </c:tx>
          <c:spPr>
            <a:ln>
              <a:prstDash val="solid"/>
            </a:ln>
          </c:spPr>
          <c:invertIfNegative val="1"/>
          <c:cat>
            <c:strRef>
              <c:f>'Cost Dashboard'!$F$22:$F$35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'Cost Dashboard'!$H$22:$H$35</c:f>
              <c:numCache>
                <c:formatCode>\$#,##0;[Red]\(\$#,##0\);\-</c:formatCode>
                <c:ptCount val="14"/>
                <c:pt idx="0">
                  <c:v>250</c:v>
                </c:pt>
                <c:pt idx="1">
                  <c:v>0</c:v>
                </c:pt>
                <c:pt idx="2">
                  <c:v>4600</c:v>
                </c:pt>
                <c:pt idx="3">
                  <c:v>1800</c:v>
                </c:pt>
                <c:pt idx="4">
                  <c:v>1000</c:v>
                </c:pt>
                <c:pt idx="5">
                  <c:v>2880</c:v>
                </c:pt>
                <c:pt idx="6">
                  <c:v>2800</c:v>
                </c:pt>
                <c:pt idx="7">
                  <c:v>2700</c:v>
                </c:pt>
                <c:pt idx="8">
                  <c:v>8000</c:v>
                </c:pt>
                <c:pt idx="9">
                  <c:v>3000</c:v>
                </c:pt>
                <c:pt idx="10">
                  <c:v>4000</c:v>
                </c:pt>
                <c:pt idx="11">
                  <c:v>0</c:v>
                </c:pt>
                <c:pt idx="12">
                  <c:v>0</c:v>
                </c:pt>
                <c:pt idx="1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D-4D7E-8A93-DA0BF82A283C}"/>
            </c:ext>
          </c:extLst>
        </c:ser>
        <c:ser>
          <c:idx val="2"/>
          <c:order val="2"/>
          <c:tx>
            <c:v>Other</c:v>
          </c:tx>
          <c:spPr>
            <a:ln>
              <a:prstDash val="solid"/>
            </a:ln>
          </c:spPr>
          <c:invertIfNegative val="1"/>
          <c:cat>
            <c:strRef>
              <c:f>'Cost Dashboard'!$F$22:$F$35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'Cost Dashboard'!$I$22:$I$35</c:f>
              <c:numCache>
                <c:formatCode>\$#,##0;[Red]\(\$#,##0\);\-</c:formatCode>
                <c:ptCount val="14"/>
                <c:pt idx="0">
                  <c:v>50</c:v>
                </c:pt>
                <c:pt idx="1">
                  <c:v>0</c:v>
                </c:pt>
                <c:pt idx="2">
                  <c:v>1300</c:v>
                </c:pt>
                <c:pt idx="3">
                  <c:v>350</c:v>
                </c:pt>
                <c:pt idx="4">
                  <c:v>300</c:v>
                </c:pt>
                <c:pt idx="5">
                  <c:v>826</c:v>
                </c:pt>
                <c:pt idx="6">
                  <c:v>500</c:v>
                </c:pt>
                <c:pt idx="7">
                  <c:v>325</c:v>
                </c:pt>
                <c:pt idx="8">
                  <c:v>2500</c:v>
                </c:pt>
                <c:pt idx="9">
                  <c:v>2700</c:v>
                </c:pt>
                <c:pt idx="10">
                  <c:v>1700</c:v>
                </c:pt>
                <c:pt idx="11">
                  <c:v>800</c:v>
                </c:pt>
                <c:pt idx="12">
                  <c:v>650</c:v>
                </c:pt>
                <c:pt idx="1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5D-4D7E-8A93-DA0BF82A2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Comparable Ballpark vs Detailed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</c:v>
          </c:tx>
          <c:spPr>
            <a:ln>
              <a:prstDash val="solid"/>
            </a:ln>
          </c:spPr>
          <c:invertIfNegative val="1"/>
          <c:cat>
            <c:strRef>
              <c:f>'Cost Dashboard'!$H$61:$H$62</c:f>
              <c:strCache>
                <c:ptCount val="2"/>
                <c:pt idx="0">
                  <c:v>Comparable Ballpark</c:v>
                </c:pt>
                <c:pt idx="1">
                  <c:v>Detailed Cost</c:v>
                </c:pt>
              </c:strCache>
            </c:strRef>
          </c:cat>
          <c:val>
            <c:numRef>
              <c:f>'Cost Dashboard'!$I$61:$I$62</c:f>
              <c:numCache>
                <c:formatCode>\$#,##0;[Red]\(\$#,##0\);\-</c:formatCode>
                <c:ptCount val="2"/>
                <c:pt idx="0">
                  <c:v>87047.400000000009</c:v>
                </c:pt>
                <c:pt idx="1">
                  <c:v>95095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4-44AD-8441-F03C77506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r>
              <a:rPr lang="en-US"/>
              <a:t>Labor Cost per $1 of Material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 Dashboard'!$B$77</c:f>
              <c:strCache>
                <c:ptCount val="1"/>
                <c:pt idx="0">
                  <c:v>Ratio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Dashboard'!$A$78:$A$79</c:f>
              <c:strCache>
                <c:ptCount val="2"/>
                <c:pt idx="0">
                  <c:v>Material baseline</c:v>
                </c:pt>
                <c:pt idx="1">
                  <c:v>Labor per $1 material</c:v>
                </c:pt>
              </c:strCache>
            </c:strRef>
          </c:cat>
          <c:val>
            <c:numRef>
              <c:f>'Cost Dashboard'!$B$78:$B$79</c:f>
              <c:numCache>
                <c:formatCode>0.00\x</c:formatCode>
                <c:ptCount val="2"/>
                <c:pt idx="0">
                  <c:v>1</c:v>
                </c:pt>
                <c:pt idx="1">
                  <c:v>0.76761205546073086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B-4523-9A8C-0DBD2B5C908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Ratio 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0.0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Priority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Budget</c:v>
          </c:tx>
          <c:cat>
            <c:strRef>
              <c:f>'Executive Overview'!$P$3:$P$7</c:f>
              <c:strCache>
                <c:ptCount val="5"/>
                <c:pt idx="0">
                  <c:v>P0 - Immediate/Safety</c:v>
                </c:pt>
                <c:pt idx="1">
                  <c:v>P1 - Before Offer</c:v>
                </c:pt>
                <c:pt idx="2">
                  <c:v>P2 - Before Sale</c:v>
                </c:pt>
                <c:pt idx="3">
                  <c:v>P3 - Value Add</c:v>
                </c:pt>
                <c:pt idx="4">
                  <c:v>P4 - Optional</c:v>
                </c:pt>
              </c:strCache>
            </c:strRef>
          </c:cat>
          <c:val>
            <c:numRef>
              <c:f>'Executive Overview'!$Q$3:$Q$7</c:f>
              <c:numCache>
                <c:formatCode>General</c:formatCode>
                <c:ptCount val="5"/>
                <c:pt idx="0">
                  <c:v>0</c:v>
                </c:pt>
                <c:pt idx="1">
                  <c:v>24695</c:v>
                </c:pt>
                <c:pt idx="2">
                  <c:v>14630</c:v>
                </c:pt>
                <c:pt idx="3">
                  <c:v>57365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C-4C32-BDC0-CED7D6248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Rehab Budget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Budget</c:v>
          </c:tx>
          <c:invertIfNegative val="1"/>
          <c:cat>
            <c:strRef>
              <c:f>'Executive Overview'!$P$11:$P$24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'Executive Overview'!$Q$11:$Q$24</c:f>
              <c:numCache>
                <c:formatCode>General</c:formatCode>
                <c:ptCount val="14"/>
                <c:pt idx="0">
                  <c:v>495.00000000000006</c:v>
                </c:pt>
                <c:pt idx="1">
                  <c:v>0</c:v>
                </c:pt>
                <c:pt idx="2">
                  <c:v>13970.000000000002</c:v>
                </c:pt>
                <c:pt idx="3">
                  <c:v>3960.0000000000005</c:v>
                </c:pt>
                <c:pt idx="4">
                  <c:v>2530</c:v>
                </c:pt>
                <c:pt idx="5">
                  <c:v>8360</c:v>
                </c:pt>
                <c:pt idx="6">
                  <c:v>8690</c:v>
                </c:pt>
                <c:pt idx="7">
                  <c:v>5060</c:v>
                </c:pt>
                <c:pt idx="8">
                  <c:v>26950.000000000004</c:v>
                </c:pt>
                <c:pt idx="9">
                  <c:v>8250</c:v>
                </c:pt>
                <c:pt idx="10">
                  <c:v>10890</c:v>
                </c:pt>
                <c:pt idx="11">
                  <c:v>880</c:v>
                </c:pt>
                <c:pt idx="12">
                  <c:v>715.00000000000011</c:v>
                </c:pt>
                <c:pt idx="13">
                  <c:v>5940.0000000000009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D-4DB7-897C-056700A1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Where the Deal Value Goes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'Executive Overview'!$S$3:$S$6</c:f>
              <c:strCache>
                <c:ptCount val="4"/>
                <c:pt idx="0">
                  <c:v>Purchase Price</c:v>
                </c:pt>
                <c:pt idx="1">
                  <c:v>Rehab Budget</c:v>
                </c:pt>
                <c:pt idx="2">
                  <c:v>Other Project Costs</c:v>
                </c:pt>
                <c:pt idx="3">
                  <c:v>Projected Profit</c:v>
                </c:pt>
              </c:strCache>
            </c:strRef>
          </c:cat>
          <c:val>
            <c:numRef>
              <c:f>'Executive Overview'!$T$3:$T$6</c:f>
              <c:numCache>
                <c:formatCode>General</c:formatCode>
                <c:ptCount val="4"/>
                <c:pt idx="0">
                  <c:v>112000</c:v>
                </c:pt>
                <c:pt idx="1">
                  <c:v>96690</c:v>
                </c:pt>
                <c:pt idx="2">
                  <c:v>38040</c:v>
                </c:pt>
                <c:pt idx="3">
                  <c:v>38270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0-42EA-A72A-45EBC77D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Rehab Cost Composition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Cost</c:v>
          </c:tx>
          <c:cat>
            <c:strRef>
              <c:f>'Cost Analytics'!$P$3:$P$6</c:f>
              <c:strCache>
                <c:ptCount val="4"/>
                <c:pt idx="0">
                  <c:v>Material</c:v>
                </c:pt>
                <c:pt idx="1">
                  <c:v>Labor</c:v>
                </c:pt>
                <c:pt idx="2">
                  <c:v>Other</c:v>
                </c:pt>
                <c:pt idx="3">
                  <c:v>Contingency</c:v>
                </c:pt>
              </c:strCache>
            </c:strRef>
          </c:cat>
          <c:val>
            <c:numRef>
              <c:f>'Cost Analytics'!$Q$3:$Q$6</c:f>
              <c:numCache>
                <c:formatCode>General</c:formatCode>
                <c:ptCount val="4"/>
                <c:pt idx="0">
                  <c:v>42769</c:v>
                </c:pt>
                <c:pt idx="1">
                  <c:v>32830</c:v>
                </c:pt>
                <c:pt idx="2">
                  <c:v>12301</c:v>
                </c:pt>
                <c:pt idx="3">
                  <c:v>8790.0000000000073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5-4871-AB0D-6844C366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Ballpark vs Detailed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Ballpark</c:v>
          </c:tx>
          <c:invertIfNegative val="1"/>
          <c:cat>
            <c:strRef>
              <c:f>'Cost Analytics'!$P$11:$P$24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'Cost Analytics'!$Q$11:$Q$24</c:f>
              <c:numCache>
                <c:formatCode>General</c:formatCode>
                <c:ptCount val="14"/>
                <c:pt idx="0">
                  <c:v>440.00000000000006</c:v>
                </c:pt>
                <c:pt idx="1">
                  <c:v>0</c:v>
                </c:pt>
                <c:pt idx="2">
                  <c:v>12370.6</c:v>
                </c:pt>
                <c:pt idx="3">
                  <c:v>3300.0000000000005</c:v>
                </c:pt>
                <c:pt idx="4">
                  <c:v>2200</c:v>
                </c:pt>
                <c:pt idx="5">
                  <c:v>7920.0000000000009</c:v>
                </c:pt>
                <c:pt idx="6">
                  <c:v>7846.3</c:v>
                </c:pt>
                <c:pt idx="7">
                  <c:v>4950</c:v>
                </c:pt>
                <c:pt idx="8">
                  <c:v>28600.000000000004</c:v>
                </c:pt>
                <c:pt idx="9">
                  <c:v>5500</c:v>
                </c:pt>
                <c:pt idx="10">
                  <c:v>8970.5</c:v>
                </c:pt>
                <c:pt idx="11">
                  <c:v>0</c:v>
                </c:pt>
                <c:pt idx="12">
                  <c:v>0</c:v>
                </c:pt>
                <c:pt idx="13">
                  <c:v>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F-49B1-B1AB-0D2EC914832D}"/>
            </c:ext>
          </c:extLst>
        </c:ser>
        <c:ser>
          <c:idx val="1"/>
          <c:order val="1"/>
          <c:tx>
            <c:v>Detailed</c:v>
          </c:tx>
          <c:invertIfNegative val="1"/>
          <c:cat>
            <c:strRef>
              <c:f>'Cost Analytics'!$P$11:$P$24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'Cost Analytics'!$R$11:$R$24</c:f>
              <c:numCache>
                <c:formatCode>General</c:formatCode>
                <c:ptCount val="14"/>
                <c:pt idx="0">
                  <c:v>495.00000000000006</c:v>
                </c:pt>
                <c:pt idx="1">
                  <c:v>0</c:v>
                </c:pt>
                <c:pt idx="2">
                  <c:v>13970.000000000002</c:v>
                </c:pt>
                <c:pt idx="3">
                  <c:v>3960.0000000000005</c:v>
                </c:pt>
                <c:pt idx="4">
                  <c:v>2530</c:v>
                </c:pt>
                <c:pt idx="5">
                  <c:v>8360</c:v>
                </c:pt>
                <c:pt idx="6">
                  <c:v>8690</c:v>
                </c:pt>
                <c:pt idx="7">
                  <c:v>5060</c:v>
                </c:pt>
                <c:pt idx="8">
                  <c:v>26950.000000000004</c:v>
                </c:pt>
                <c:pt idx="9">
                  <c:v>8250</c:v>
                </c:pt>
                <c:pt idx="10">
                  <c:v>10890</c:v>
                </c:pt>
                <c:pt idx="11">
                  <c:v>0</c:v>
                </c:pt>
                <c:pt idx="12">
                  <c:v>0</c:v>
                </c:pt>
                <c:pt idx="13">
                  <c:v>5940.0000000000009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F-49B1-B1AB-0D2EC9148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Detailed Cost Variance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Variance</c:v>
          </c:tx>
          <c:invertIfNegative val="1"/>
          <c:cat>
            <c:strRef>
              <c:f>'Cost Analytics'!$P$34:$P$47</c:f>
              <c:strCache>
                <c:ptCount val="14"/>
                <c:pt idx="0">
                  <c:v>Appliances &amp; Curb Appeal</c:v>
                </c:pt>
                <c:pt idx="1">
                  <c:v>Basement &amp; Environmental</c:v>
                </c:pt>
                <c:pt idx="2">
                  <c:v>Bathrooms</c:v>
                </c:pt>
                <c:pt idx="3">
                  <c:v>Electrical</c:v>
                </c:pt>
                <c:pt idx="4">
                  <c:v>Exterior &amp; Site</c:v>
                </c:pt>
                <c:pt idx="5">
                  <c:v>Flooring</c:v>
                </c:pt>
                <c:pt idx="6">
                  <c:v>HVAC</c:v>
                </c:pt>
                <c:pt idx="7">
                  <c:v>Interior Finishes</c:v>
                </c:pt>
                <c:pt idx="8">
                  <c:v>Kitchen</c:v>
                </c:pt>
                <c:pt idx="9">
                  <c:v>Plumbing &amp; Sewer</c:v>
                </c:pt>
                <c:pt idx="10">
                  <c:v>Roof &amp; Attic</c:v>
                </c:pt>
                <c:pt idx="11">
                  <c:v>Soft Costs &amp; Due Diligence</c:v>
                </c:pt>
                <c:pt idx="12">
                  <c:v>Structure &amp; Foundation</c:v>
                </c:pt>
                <c:pt idx="13">
                  <c:v>Windows, Doors &amp; Garage</c:v>
                </c:pt>
              </c:strCache>
            </c:strRef>
          </c:cat>
          <c:val>
            <c:numRef>
              <c:f>'Cost Analytics'!$Q$34:$Q$47</c:f>
              <c:numCache>
                <c:formatCode>General</c:formatCode>
                <c:ptCount val="14"/>
                <c:pt idx="0">
                  <c:v>55</c:v>
                </c:pt>
                <c:pt idx="1">
                  <c:v>0</c:v>
                </c:pt>
                <c:pt idx="2">
                  <c:v>1599.4000000000015</c:v>
                </c:pt>
                <c:pt idx="3">
                  <c:v>660</c:v>
                </c:pt>
                <c:pt idx="4">
                  <c:v>330</c:v>
                </c:pt>
                <c:pt idx="5">
                  <c:v>439.99999999999909</c:v>
                </c:pt>
                <c:pt idx="6">
                  <c:v>843.69999999999982</c:v>
                </c:pt>
                <c:pt idx="7">
                  <c:v>110</c:v>
                </c:pt>
                <c:pt idx="8">
                  <c:v>-1650</c:v>
                </c:pt>
                <c:pt idx="9">
                  <c:v>2750</c:v>
                </c:pt>
                <c:pt idx="10">
                  <c:v>1919.5</c:v>
                </c:pt>
                <c:pt idx="11">
                  <c:v>0</c:v>
                </c:pt>
                <c:pt idx="12">
                  <c:v>0</c:v>
                </c:pt>
                <c:pt idx="13">
                  <c:v>990.00000000000091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4-44E2-85F3-02131B4EF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Labor Cost per $1 of Material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Ratio</c:v>
          </c:tx>
          <c:invertIfNegative val="1"/>
          <c:cat>
            <c:strRef>
              <c:f>'Cost Analytics'!$P$29:$P$30</c:f>
              <c:strCache>
                <c:ptCount val="2"/>
                <c:pt idx="0">
                  <c:v>Material Baseline</c:v>
                </c:pt>
                <c:pt idx="1">
                  <c:v>Labor per $1 Material</c:v>
                </c:pt>
              </c:strCache>
            </c:strRef>
          </c:cat>
          <c:val>
            <c:numRef>
              <c:f>'Cost Analytics'!$Q$29:$Q$30</c:f>
              <c:numCache>
                <c:formatCode>General</c:formatCode>
                <c:ptCount val="2"/>
                <c:pt idx="0">
                  <c:v>1</c:v>
                </c:pt>
                <c:pt idx="1">
                  <c:v>0.76761205546073086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0-467B-9F60-384FD9163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\x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Planned vs Actual Rehab Days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Days</c:v>
          </c:tx>
          <c:invertIfNegative val="1"/>
          <c:cat>
            <c:strRef>
              <c:f>'Project Performance'!$P$3:$P$4</c:f>
              <c:strCache>
                <c:ptCount val="2"/>
                <c:pt idx="0">
                  <c:v>Planned Rehab</c:v>
                </c:pt>
                <c:pt idx="1">
                  <c:v>Actual Rehab</c:v>
                </c:pt>
              </c:strCache>
            </c:strRef>
          </c:cat>
          <c:val>
            <c:numRef>
              <c:f>'Project Performance'!$Q$3:$Q$4</c:f>
              <c:numCache>
                <c:formatCode>General</c:formatCode>
                <c:ptCount val="2"/>
                <c:pt idx="0">
                  <c:v>60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5-480A-BAD5-886B1A369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Budgeted vs Actual Rehab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'Project Performance'!$P$8:$P$9</c:f>
              <c:strCache>
                <c:ptCount val="2"/>
                <c:pt idx="0">
                  <c:v>Budgeted Rehab</c:v>
                </c:pt>
                <c:pt idx="1">
                  <c:v>Actual Rehab</c:v>
                </c:pt>
              </c:strCache>
            </c:strRef>
          </c:cat>
          <c:val>
            <c:numRef>
              <c:f>'Project Performance'!$Q$8:$Q$9</c:f>
              <c:numCache>
                <c:formatCode>General</c:formatCode>
                <c:ptCount val="2"/>
                <c:pt idx="0">
                  <c:v>96690</c:v>
                </c:pt>
                <c:pt idx="1">
                  <c:v>99800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D-433D-8874-E53B4AC87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ARV vs Actual Sale Price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'Project Performance'!$P$13:$P$14</c:f>
              <c:strCache>
                <c:ptCount val="2"/>
                <c:pt idx="0">
                  <c:v>ARV</c:v>
                </c:pt>
                <c:pt idx="1">
                  <c:v>Actual Sale Price</c:v>
                </c:pt>
              </c:strCache>
            </c:strRef>
          </c:cat>
          <c:val>
            <c:numRef>
              <c:f>'Project Performance'!$Q$13:$Q$14</c:f>
              <c:numCache>
                <c:formatCode>General</c:formatCode>
                <c:ptCount val="2"/>
                <c:pt idx="0">
                  <c:v>285000</c:v>
                </c:pt>
                <c:pt idx="1">
                  <c:v>292000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6-4149-8C90-0EB62C4C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Projected vs Actual Net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'Project Performance'!$P$18:$P$19</c:f>
              <c:strCache>
                <c:ptCount val="2"/>
                <c:pt idx="0">
                  <c:v>Projected Profit</c:v>
                </c:pt>
                <c:pt idx="1">
                  <c:v>Actual Net Profit</c:v>
                </c:pt>
              </c:strCache>
            </c:strRef>
          </c:cat>
          <c:val>
            <c:numRef>
              <c:f>'Project Performance'!$Q$18:$Q$19</c:f>
              <c:numCache>
                <c:formatCode>General</c:formatCode>
                <c:ptCount val="2"/>
                <c:pt idx="0">
                  <c:v>38270</c:v>
                </c:pt>
                <c:pt idx="1">
                  <c:v>42951.511169513804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6-40C1-8CFE-9E204F1D8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63</xdr:row>
      <xdr:rowOff>0</xdr:rowOff>
    </xdr:from>
    <xdr:to>
      <xdr:col>12</xdr:col>
      <xdr:colOff>0</xdr:colOff>
      <xdr:row>79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0</xdr:colOff>
      <xdr:row>76</xdr:row>
      <xdr:rowOff>0</xdr:rowOff>
    </xdr:from>
    <xdr:ext cx="4860000" cy="2340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opeBuilderTable" displayName="ScopeBuilderTable" ref="A1:AC251" totalsRowShown="0">
  <tableColumns count="29">
    <tableColumn id="1" xr3:uid="{00000000-0010-0000-0000-000001000000}" name="Include?"/>
    <tableColumn id="2" xr3:uid="{00000000-0010-0000-0000-000002000000}" name="Cost Code"/>
    <tableColumn id="3" xr3:uid="{00000000-0010-0000-0000-000003000000}" name="Category"/>
    <tableColumn id="4" xr3:uid="{00000000-0010-0000-0000-000004000000}" name="Trade"/>
    <tableColumn id="5" xr3:uid="{00000000-0010-0000-0000-000005000000}" name="Location / Room"/>
    <tableColumn id="6" xr3:uid="{00000000-0010-0000-0000-000006000000}" name="Inspector / Appraiser / Designer Note"/>
    <tableColumn id="7" xr3:uid="{00000000-0010-0000-0000-000007000000}" name="Work Type"/>
    <tableColumn id="8" xr3:uid="{00000000-0010-0000-0000-000008000000}" name="Source"/>
    <tableColumn id="9" xr3:uid="{00000000-0010-0000-0000-000009000000}" name="Severity"/>
    <tableColumn id="10" xr3:uid="{00000000-0010-0000-0000-00000A000000}" name="Safety / Code?"/>
    <tableColumn id="11" xr3:uid="{00000000-0010-0000-0000-00000B000000}" name="Priority"/>
    <tableColumn id="12" xr3:uid="{00000000-0010-0000-0000-00000C000000}" name="Qty"/>
    <tableColumn id="13" xr3:uid="{00000000-0010-0000-0000-00000D000000}" name="Unit"/>
    <tableColumn id="14" xr3:uid="{00000000-0010-0000-0000-00000E000000}" name="Low"/>
    <tableColumn id="15" xr3:uid="{00000000-0010-0000-0000-00000F000000}" name="Typical"/>
    <tableColumn id="16" xr3:uid="{00000000-0010-0000-0000-000010000000}" name="High"/>
    <tableColumn id="17" xr3:uid="{00000000-0010-0000-0000-000011000000}" name="Contractor Quote (Total)"/>
    <tableColumn id="18" xr3:uid="{00000000-0010-0000-0000-000012000000}" name="Cost Basis"/>
    <tableColumn id="19" xr3:uid="{00000000-0010-0000-0000-000013000000}" name="Base Cost"/>
    <tableColumn id="20" xr3:uid="{00000000-0010-0000-0000-000014000000}" name="Contingency %"/>
    <tableColumn id="21" xr3:uid="{00000000-0010-0000-0000-000015000000}" name="Budgeted Cost"/>
    <tableColumn id="22" xr3:uid="{00000000-0010-0000-0000-000016000000}" name="Status"/>
    <tableColumn id="23" xr3:uid="{00000000-0010-0000-0000-000017000000}" name="Permit?"/>
    <tableColumn id="24" xr3:uid="{00000000-0010-0000-0000-000018000000}" name="Est. Days"/>
    <tableColumn id="25" xr3:uid="{00000000-0010-0000-0000-000019000000}" name="ARV Impact"/>
    <tableColumn id="26" xr3:uid="{00000000-0010-0000-0000-00001A000000}" name="Value-Add Score (1-5)"/>
    <tableColumn id="27" xr3:uid="{00000000-0010-0000-0000-00001B000000}" name="Contractor"/>
    <tableColumn id="28" xr3:uid="{00000000-0010-0000-0000-00001C000000}" name="Dependency / Sequence"/>
    <tableColumn id="29" xr3:uid="{00000000-0010-0000-0000-00001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LibraryTable" displayName="CostLibraryTable" ref="A1:M159" totalsRowShown="0">
  <tableColumns count="13">
    <tableColumn id="1" xr3:uid="{00000000-0010-0000-0100-000001000000}" name="Cost Code"/>
    <tableColumn id="2" xr3:uid="{00000000-0010-0000-0100-000002000000}" name="Category"/>
    <tableColumn id="3" xr3:uid="{00000000-0010-0000-0100-000003000000}" name="Trade"/>
    <tableColumn id="4" xr3:uid="{00000000-0010-0000-0100-000004000000}" name="Scope Item"/>
    <tableColumn id="5" xr3:uid="{00000000-0010-0000-0100-000005000000}" name="Work Type"/>
    <tableColumn id="6" xr3:uid="{00000000-0010-0000-0100-000006000000}" name="Unit"/>
    <tableColumn id="7" xr3:uid="{00000000-0010-0000-0100-000007000000}" name="Low Allowance"/>
    <tableColumn id="8" xr3:uid="{00000000-0010-0000-0100-000008000000}" name="Typical Allowance"/>
    <tableColumn id="9" xr3:uid="{00000000-0010-0000-0100-000009000000}" name="High Allowance"/>
    <tableColumn id="10" xr3:uid="{00000000-0010-0000-0100-00000A000000}" name="Permit?"/>
    <tableColumn id="11" xr3:uid="{00000000-0010-0000-0100-00000B000000}" name="Risk Class"/>
    <tableColumn id="12" xr3:uid="{00000000-0010-0000-0100-00000C000000}" name="Source Basis"/>
    <tableColumn id="13" xr3:uid="{00000000-0010-0000-0100-00000D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dComparisonTable" displayName="BidComparisonTable" ref="A1:L101" totalsRowShown="0">
  <tableColumns count="12">
    <tableColumn id="1" xr3:uid="{00000000-0010-0000-0200-000001000000}" name="Cost Code / Scope"/>
    <tableColumn id="2" xr3:uid="{00000000-0010-0000-0200-000002000000}" name="Scope Description"/>
    <tableColumn id="3" xr3:uid="{00000000-0010-0000-0200-000003000000}" name="Vendor"/>
    <tableColumn id="4" xr3:uid="{00000000-0010-0000-0200-000004000000}" name="Bid Status"/>
    <tableColumn id="5" xr3:uid="{00000000-0010-0000-0200-000005000000}" name="Quoted Total"/>
    <tableColumn id="6" xr3:uid="{00000000-0010-0000-0200-000006000000}" name="Start Lead (days)"/>
    <tableColumn id="7" xr3:uid="{00000000-0010-0000-0200-000007000000}" name="Duration (days)"/>
    <tableColumn id="8" xr3:uid="{00000000-0010-0000-0200-000008000000}" name="Warranty"/>
    <tableColumn id="9" xr3:uid="{00000000-0010-0000-0200-000009000000}" name="Licensed/Insured?"/>
    <tableColumn id="10" xr3:uid="{00000000-0010-0000-0200-00000A000000}" name="Permit Included?"/>
    <tableColumn id="11" xr3:uid="{00000000-0010-0000-0200-00000B000000}" name="Payment Terms"/>
    <tableColumn id="12" xr3:uid="{00000000-0010-0000-02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0"/>
  <sheetViews>
    <sheetView topLeftCell="C1" workbookViewId="0">
      <selection sqref="A1:L1"/>
    </sheetView>
  </sheetViews>
  <sheetFormatPr defaultRowHeight="13.8"/>
  <cols>
    <col min="1" max="12" width="14" customWidth="1"/>
  </cols>
  <sheetData>
    <row r="1" spans="1:29" ht="2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7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74" t="s">
        <v>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>
      <c r="A4" s="71" t="str">
        <f>"Selected Rehab"&amp;CHAR(10)&amp;TEXT(SUM('Scope Builder'!U2:U251),"$#,##0")</f>
        <v>Selected Rehab
$96,690</v>
      </c>
      <c r="B4" s="67"/>
      <c r="C4" s="67"/>
      <c r="D4" s="71" t="str">
        <f>"Critical / P0 Cost"&amp;CHAR(10)&amp;TEXT(SUMIFS('Scope Builder'!U2:U251,'Scope Builder'!A2:A251,"Yes",'Scope Builder'!I2:I251,"Critical")+SUMIFS('Scope Builder'!U2:U251,'Scope Builder'!A2:A251,"Yes",'Scope Builder'!K2:K251,"P0 - Immediate/Safety"),"$#,##0")</f>
        <v>Critical / P0 Cost
$23,815</v>
      </c>
      <c r="E4" s="67"/>
      <c r="F4" s="67"/>
      <c r="G4" s="71" t="str">
        <f>"Projected Profit"&amp;CHAR(10)&amp;TEXT('Flip Analysis'!C12,"$#,##0")</f>
        <v>Projected Profit
$38,270</v>
      </c>
      <c r="H4" s="67"/>
      <c r="I4" s="67"/>
      <c r="J4" s="77" t="str">
        <f>"Detailed MAO"&amp;CHAR(10)&amp;TEXT('Flip Analysis'!C16,"$#,##0")</f>
        <v>Detailed MAO
$115,206</v>
      </c>
      <c r="K4" s="67"/>
      <c r="L4" s="67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67"/>
      <c r="B5" s="72"/>
      <c r="C5" s="67"/>
      <c r="D5" s="67"/>
      <c r="E5" s="72"/>
      <c r="F5" s="67"/>
      <c r="G5" s="67"/>
      <c r="H5" s="72"/>
      <c r="I5" s="67"/>
      <c r="J5" s="67"/>
      <c r="K5" s="72"/>
      <c r="L5" s="6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73" t="s">
        <v>3</v>
      </c>
      <c r="B8" s="67"/>
      <c r="C8" s="67"/>
      <c r="D8" s="67"/>
      <c r="E8" s="67"/>
      <c r="F8" s="67"/>
      <c r="G8" s="4"/>
      <c r="H8" s="73" t="s">
        <v>4</v>
      </c>
      <c r="I8" s="67"/>
      <c r="J8" s="67"/>
      <c r="K8" s="67"/>
      <c r="L8" s="6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69" t="s">
        <v>5</v>
      </c>
      <c r="B9" s="67"/>
      <c r="C9" s="67"/>
      <c r="D9" s="69">
        <f>COUNTIF('Scope Builder'!A2:A251,"Yes")</f>
        <v>14</v>
      </c>
      <c r="E9" s="67"/>
      <c r="F9" s="67"/>
      <c r="G9" s="4"/>
      <c r="H9" s="24" t="s">
        <v>6</v>
      </c>
      <c r="I9" s="24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69" t="s">
        <v>8</v>
      </c>
      <c r="B10" s="67"/>
      <c r="C10" s="67"/>
      <c r="D10" s="69">
        <f>COUNTIFS('Scope Builder'!A2:A251,"Yes",'Scope Builder'!I2:I251,"Critical")</f>
        <v>4</v>
      </c>
      <c r="E10" s="67"/>
      <c r="F10" s="67"/>
      <c r="G10" s="4"/>
      <c r="H10" s="4" t="s">
        <v>9</v>
      </c>
      <c r="I10" s="25">
        <f>SUMIFS('Scope Builder'!$U$2:$U$251,'Scope Builder'!$A$2:$A$251,"Yes",'Scope Builder'!$K$2:$K$251,H10)</f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69" t="s">
        <v>10</v>
      </c>
      <c r="B11" s="67"/>
      <c r="C11" s="67"/>
      <c r="D11" s="69">
        <f>COUNTIFS('Scope Builder'!A2:A251,"Yes",'Scope Builder'!K2:K251,"P0 - Immediate/Safety")</f>
        <v>0</v>
      </c>
      <c r="E11" s="67"/>
      <c r="F11" s="67"/>
      <c r="G11" s="4"/>
      <c r="H11" s="4" t="s">
        <v>11</v>
      </c>
      <c r="I11" s="25">
        <f>SUMIFS('Scope Builder'!$U$2:$U$251,'Scope Builder'!$A$2:$A$251,"Yes",'Scope Builder'!$K$2:$K$251,H11)</f>
        <v>24695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69" t="s">
        <v>12</v>
      </c>
      <c r="B12" s="67"/>
      <c r="C12" s="67"/>
      <c r="D12" s="69">
        <f>COUNTIFS('Scope Builder'!A2:A251,"Yes",'Scope Builder'!K2:K251,"P1 - Before Offer")</f>
        <v>6</v>
      </c>
      <c r="E12" s="67"/>
      <c r="F12" s="67"/>
      <c r="G12" s="4"/>
      <c r="H12" s="4" t="s">
        <v>13</v>
      </c>
      <c r="I12" s="25">
        <f>SUMIFS('Scope Builder'!$U$2:$U$251,'Scope Builder'!$A$2:$A$251,"Yes",'Scope Builder'!$K$2:$K$251,H12)</f>
        <v>14630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69" t="s">
        <v>14</v>
      </c>
      <c r="B13" s="67"/>
      <c r="C13" s="67"/>
      <c r="D13" s="69">
        <f>COUNTIFS('Scope Builder'!A2:A251,"Yes",'Scope Builder'!W2:W251,"Yes")</f>
        <v>4</v>
      </c>
      <c r="E13" s="67"/>
      <c r="F13" s="67"/>
      <c r="G13" s="4"/>
      <c r="H13" s="4" t="s">
        <v>15</v>
      </c>
      <c r="I13" s="25">
        <f>SUMIFS('Scope Builder'!$U$2:$U$251,'Scope Builder'!$A$2:$A$251,"Yes",'Scope Builder'!$K$2:$K$251,H13)</f>
        <v>57365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69" t="s">
        <v>16</v>
      </c>
      <c r="B14" s="67"/>
      <c r="C14" s="67"/>
      <c r="D14" s="69">
        <f>COUNTIFS('Scope Builder'!A2:A251,"Yes",'Scope Builder'!Q2:Q251,"&gt;0")</f>
        <v>3</v>
      </c>
      <c r="E14" s="67"/>
      <c r="F14" s="67"/>
      <c r="G14" s="4"/>
      <c r="H14" s="4" t="s">
        <v>17</v>
      </c>
      <c r="I14" s="25">
        <f>SUMIFS('Scope Builder'!$U$2:$U$251,'Scope Builder'!$A$2:$A$251,"Yes",'Scope Builder'!$K$2:$K$251,H14)</f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73" t="s">
        <v>18</v>
      </c>
      <c r="B16" s="67"/>
      <c r="C16" s="67"/>
      <c r="D16" s="67"/>
      <c r="E16" s="67"/>
      <c r="F16" s="67"/>
      <c r="G16" s="4"/>
      <c r="H16" s="73" t="s">
        <v>19</v>
      </c>
      <c r="I16" s="67"/>
      <c r="J16" s="67"/>
      <c r="K16" s="67"/>
      <c r="L16" s="6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24" t="s">
        <v>20</v>
      </c>
      <c r="B17" s="24" t="s">
        <v>7</v>
      </c>
      <c r="C17" s="4"/>
      <c r="D17" s="4"/>
      <c r="E17" s="4"/>
      <c r="F17" s="4"/>
      <c r="G17" s="4"/>
      <c r="H17" s="69" t="s">
        <v>21</v>
      </c>
      <c r="I17" s="67"/>
      <c r="J17" s="67"/>
      <c r="K17" s="68">
        <f>'Flip Analysis'!C5</f>
        <v>285000</v>
      </c>
      <c r="L17" s="6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">
      <c r="A18" s="4" t="s">
        <v>22</v>
      </c>
      <c r="B18" s="25">
        <f>SUMIFS('Scope Builder'!$U$2:$U$251,'Scope Builder'!$A$2:$A$251,"Yes",'Scope Builder'!$C$2:$C$251,A18)</f>
        <v>495.00000000000006</v>
      </c>
      <c r="C18" s="4"/>
      <c r="D18" s="4"/>
      <c r="E18" s="4"/>
      <c r="F18" s="4"/>
      <c r="G18" s="4"/>
      <c r="H18" s="69" t="s">
        <v>23</v>
      </c>
      <c r="I18" s="67"/>
      <c r="J18" s="67"/>
      <c r="K18" s="68">
        <f>'Flip Analysis'!C6</f>
        <v>96690</v>
      </c>
      <c r="L18" s="6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">
      <c r="A19" s="4" t="s">
        <v>24</v>
      </c>
      <c r="B19" s="25">
        <f>SUMIFS('Scope Builder'!$U$2:$U$251,'Scope Builder'!$A$2:$A$251,"Yes",'Scope Builder'!$C$2:$C$251,A19)</f>
        <v>0</v>
      </c>
      <c r="C19" s="4"/>
      <c r="D19" s="4"/>
      <c r="E19" s="4"/>
      <c r="F19" s="4"/>
      <c r="G19" s="4"/>
      <c r="H19" s="69" t="s">
        <v>25</v>
      </c>
      <c r="I19" s="67"/>
      <c r="J19" s="67"/>
      <c r="K19" s="68">
        <f>'Flip Analysis'!C11</f>
        <v>246730</v>
      </c>
      <c r="L19" s="6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">
      <c r="A20" s="4" t="s">
        <v>26</v>
      </c>
      <c r="B20" s="25">
        <f>SUMIFS('Scope Builder'!$U$2:$U$251,'Scope Builder'!$A$2:$A$251,"Yes",'Scope Builder'!$C$2:$C$251,A20)</f>
        <v>13970.000000000002</v>
      </c>
      <c r="C20" s="4"/>
      <c r="D20" s="4"/>
      <c r="E20" s="4"/>
      <c r="F20" s="4"/>
      <c r="G20" s="4"/>
      <c r="H20" s="69" t="s">
        <v>27</v>
      </c>
      <c r="I20" s="67"/>
      <c r="J20" s="67"/>
      <c r="K20" s="68">
        <f>'Flip Analysis'!C12</f>
        <v>38270</v>
      </c>
      <c r="L20" s="6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4.4">
      <c r="A21" s="4" t="s">
        <v>28</v>
      </c>
      <c r="B21" s="25">
        <f>SUMIFS('Scope Builder'!$U$2:$U$251,'Scope Builder'!$A$2:$A$251,"Yes",'Scope Builder'!$C$2:$C$251,A21)</f>
        <v>3960.0000000000005</v>
      </c>
      <c r="C21" s="4"/>
      <c r="D21" s="4"/>
      <c r="E21" s="4"/>
      <c r="F21" s="4"/>
      <c r="G21" s="4"/>
      <c r="H21" s="69" t="s">
        <v>29</v>
      </c>
      <c r="I21" s="67"/>
      <c r="J21" s="67"/>
      <c r="K21" s="75">
        <f>'Flip Analysis'!C13</f>
        <v>0.13428070175438597</v>
      </c>
      <c r="L21" s="6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.4">
      <c r="A22" s="4" t="s">
        <v>30</v>
      </c>
      <c r="B22" s="25">
        <f>SUMIFS('Scope Builder'!$U$2:$U$251,'Scope Builder'!$A$2:$A$251,"Yes",'Scope Builder'!$C$2:$C$251,A22)</f>
        <v>2530</v>
      </c>
      <c r="C22" s="4"/>
      <c r="D22" s="4"/>
      <c r="E22" s="4"/>
      <c r="F22" s="4"/>
      <c r="G22" s="4"/>
      <c r="H22" s="69" t="s">
        <v>31</v>
      </c>
      <c r="I22" s="67"/>
      <c r="J22" s="67"/>
      <c r="K22" s="75">
        <f>'Flip Analysis'!C14</f>
        <v>0.15510882341020549</v>
      </c>
      <c r="L22" s="6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.4">
      <c r="A23" s="4" t="s">
        <v>32</v>
      </c>
      <c r="B23" s="25">
        <f>SUMIFS('Scope Builder'!$U$2:$U$251,'Scope Builder'!$A$2:$A$251,"Yes",'Scope Builder'!$C$2:$C$251,A23)</f>
        <v>8360</v>
      </c>
      <c r="C23" s="4"/>
      <c r="D23" s="4"/>
      <c r="E23" s="4"/>
      <c r="F23" s="4"/>
      <c r="G23" s="4"/>
      <c r="H23" s="69" t="s">
        <v>33</v>
      </c>
      <c r="I23" s="67"/>
      <c r="J23" s="67"/>
      <c r="K23" s="68">
        <f>'Flip Analysis'!C15</f>
        <v>102810</v>
      </c>
      <c r="L23" s="6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.4">
      <c r="A24" s="4" t="s">
        <v>34</v>
      </c>
      <c r="B24" s="25">
        <f>SUMIFS('Scope Builder'!$U$2:$U$251,'Scope Builder'!$A$2:$A$251,"Yes",'Scope Builder'!$C$2:$C$251,A24)</f>
        <v>8690</v>
      </c>
      <c r="C24" s="4"/>
      <c r="D24" s="4"/>
      <c r="E24" s="4"/>
      <c r="F24" s="4"/>
      <c r="G24" s="4"/>
      <c r="H24" s="69" t="s">
        <v>35</v>
      </c>
      <c r="I24" s="67"/>
      <c r="J24" s="67"/>
      <c r="K24" s="68">
        <f>'Flip Analysis'!C16</f>
        <v>115205.88235294117</v>
      </c>
      <c r="L24" s="6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.4">
      <c r="A25" s="4" t="s">
        <v>36</v>
      </c>
      <c r="B25" s="25">
        <f>SUMIFS('Scope Builder'!$U$2:$U$251,'Scope Builder'!$A$2:$A$251,"Yes",'Scope Builder'!$C$2:$C$251,A25)</f>
        <v>5060</v>
      </c>
      <c r="C25" s="4"/>
      <c r="D25" s="4"/>
      <c r="E25" s="4"/>
      <c r="F25" s="4"/>
      <c r="G25" s="4"/>
      <c r="H25" s="69" t="s">
        <v>37</v>
      </c>
      <c r="I25" s="67"/>
      <c r="J25" s="67"/>
      <c r="K25" s="68">
        <f>'Flip Analysis'!C17</f>
        <v>3205.8823529411748</v>
      </c>
      <c r="L25" s="6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">
      <c r="A26" s="4" t="s">
        <v>38</v>
      </c>
      <c r="B26" s="25">
        <f>SUMIFS('Scope Builder'!$U$2:$U$251,'Scope Builder'!$A$2:$A$251,"Yes",'Scope Builder'!$C$2:$C$251,A26)</f>
        <v>26950.000000000004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">
      <c r="A27" s="4" t="s">
        <v>39</v>
      </c>
      <c r="B27" s="25">
        <f>SUMIFS('Scope Builder'!$U$2:$U$251,'Scope Builder'!$A$2:$A$251,"Yes",'Scope Builder'!$C$2:$C$251,A27)</f>
        <v>8250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">
      <c r="A28" s="4" t="s">
        <v>40</v>
      </c>
      <c r="B28" s="25">
        <f>SUMIFS('Scope Builder'!$U$2:$U$251,'Scope Builder'!$A$2:$A$251,"Yes",'Scope Builder'!$C$2:$C$251,A28)</f>
        <v>10890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">
      <c r="A29" s="4" t="s">
        <v>41</v>
      </c>
      <c r="B29" s="25">
        <f>SUMIFS('Scope Builder'!$U$2:$U$251,'Scope Builder'!$A$2:$A$251,"Yes",'Scope Builder'!$C$2:$C$251,A29)</f>
        <v>880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">
      <c r="A30" s="4" t="s">
        <v>42</v>
      </c>
      <c r="B30" s="25">
        <f>SUMIFS('Scope Builder'!$U$2:$U$251,'Scope Builder'!$A$2:$A$251,"Yes",'Scope Builder'!$C$2:$C$251,A30)</f>
        <v>715.00000000000011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">
      <c r="A31" s="4" t="s">
        <v>43</v>
      </c>
      <c r="B31" s="25">
        <f>SUMIFS('Scope Builder'!$U$2:$U$251,'Scope Builder'!$A$2:$A$251,"Yes",'Scope Builder'!$C$2:$C$251,A31)</f>
        <v>5940.0000000000009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7.55" customHeight="1">
      <c r="A44" s="70" t="s">
        <v>44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7.55" customHeight="1">
      <c r="A45" s="65" t="str">
        <f>"MAO Buffer"&amp;CHAR(10)&amp;TEXT('Flip Analysis'!C17,"$#,##0;[Red]($#,##0);-")</f>
        <v>MAO Buffer
$3,206</v>
      </c>
      <c r="B45" s="65"/>
      <c r="C45" s="65"/>
      <c r="D45" s="65" t="str">
        <f>"Rehab $ / sf"&amp;CHAR(10)&amp;TEXT('Flip Analysis'!C27,"$0.00")&amp;"/sf"</f>
        <v>Rehab $ / sf
$64.46/sf</v>
      </c>
      <c r="E45" s="65"/>
      <c r="F45" s="65"/>
      <c r="G45" s="65" t="str">
        <f>"Contingency Remaining"&amp;CHAR(10)&amp;TEXT('Flip Analysis'!C30,"$#,##0;[Red]($#,##0);-")</f>
        <v>Contingency Remaining
-</v>
      </c>
      <c r="H45" s="65"/>
      <c r="I45" s="65"/>
      <c r="J45" s="65" t="str">
        <f>"Schedule Variance"&amp;CHAR(10)&amp;TEXT('Flip Analysis'!C24,"+0;-0;0")&amp;" days"</f>
        <v>Schedule Variance
+12 days</v>
      </c>
      <c r="K45" s="65"/>
      <c r="L45" s="6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7.5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7.5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7.5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7.55" customHeight="1">
      <c r="A49" s="65" t="str">
        <f>"Holding Cost / Day"&amp;CHAR(10)&amp;TEXT('Flip Analysis'!C26,"$#,##0.00;[Red]($#,##0.00);-")</f>
        <v>Holding Cost / Day
$55.85</v>
      </c>
      <c r="B49" s="65"/>
      <c r="C49" s="65"/>
      <c r="D49" s="65" t="str">
        <f>"Profit / Day"&amp;CHAR(10)&amp;TEXT('Flip Analysis'!C40,"$#,##0;[Red]($#,##0);-")</f>
        <v>Profit / Day
$336</v>
      </c>
      <c r="E49" s="65"/>
      <c r="F49" s="65"/>
      <c r="G49" s="65" t="str">
        <f>"ARV Variance"&amp;CHAR(10)&amp;TEXT('Flip Analysis'!C33,"$#,##0;[Red]($#,##0);-")</f>
        <v>ARV Variance
$7,000</v>
      </c>
      <c r="H49" s="65"/>
      <c r="I49" s="65"/>
      <c r="J49" s="65" t="str">
        <f>"Actual-vs-Budget Variance"&amp;CHAR(10)&amp;TEXT('Flip Analysis'!C34,"$#,##0;[Red]($#,##0);-")&amp;CHAR(10)&amp;TEXT('Flip Analysis'!C35,"+0.0%;-0.0%;0.0%")</f>
        <v>Actual-vs-Budget Variance
$3,110
+3.2%</v>
      </c>
      <c r="K49" s="65"/>
      <c r="L49" s="6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7.5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7.5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7.5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7.55" customHeight="1">
      <c r="A53" s="64" t="s">
        <v>45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7.5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4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4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4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4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4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4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4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4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4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4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mergeCells count="51">
    <mergeCell ref="A16:F16"/>
    <mergeCell ref="K18:L18"/>
    <mergeCell ref="D11:F11"/>
    <mergeCell ref="K25:L25"/>
    <mergeCell ref="D13:F13"/>
    <mergeCell ref="K24:L24"/>
    <mergeCell ref="A12:C12"/>
    <mergeCell ref="H22:J22"/>
    <mergeCell ref="K22:L22"/>
    <mergeCell ref="H24:J24"/>
    <mergeCell ref="A3:L3"/>
    <mergeCell ref="H17:J17"/>
    <mergeCell ref="K21:L21"/>
    <mergeCell ref="A2:L2"/>
    <mergeCell ref="K20:L20"/>
    <mergeCell ref="J4:L6"/>
    <mergeCell ref="A14:C14"/>
    <mergeCell ref="H19:J19"/>
    <mergeCell ref="A8:F8"/>
    <mergeCell ref="D12:F12"/>
    <mergeCell ref="D4:F6"/>
    <mergeCell ref="D9:F9"/>
    <mergeCell ref="A10:C10"/>
    <mergeCell ref="A13:C13"/>
    <mergeCell ref="D14:F14"/>
    <mergeCell ref="H18:J18"/>
    <mergeCell ref="A1:L1"/>
    <mergeCell ref="K19:L19"/>
    <mergeCell ref="H25:J25"/>
    <mergeCell ref="H21:J21"/>
    <mergeCell ref="A44:L44"/>
    <mergeCell ref="G4:I6"/>
    <mergeCell ref="H16:L16"/>
    <mergeCell ref="H23:J23"/>
    <mergeCell ref="A4:C6"/>
    <mergeCell ref="A9:C9"/>
    <mergeCell ref="H8:L8"/>
    <mergeCell ref="K23:L23"/>
    <mergeCell ref="K17:L17"/>
    <mergeCell ref="D10:F10"/>
    <mergeCell ref="H20:J20"/>
    <mergeCell ref="A11:C11"/>
    <mergeCell ref="A53:L54"/>
    <mergeCell ref="A45:C47"/>
    <mergeCell ref="D45:F47"/>
    <mergeCell ref="G45:I47"/>
    <mergeCell ref="J45:L47"/>
    <mergeCell ref="A49:C51"/>
    <mergeCell ref="D49:F51"/>
    <mergeCell ref="G49:I51"/>
    <mergeCell ref="J49:L51"/>
  </mergeCells>
  <conditionalFormatting sqref="K25:L25">
    <cfRule type="expression" dxfId="21" priority="1">
      <formula>K25&lt;0</formula>
    </cfRule>
    <cfRule type="expression" dxfId="20" priority="2">
      <formula>K25&gt;=0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00"/>
  <sheetViews>
    <sheetView workbookViewId="0"/>
  </sheetViews>
  <sheetFormatPr defaultRowHeight="13.8"/>
  <cols>
    <col min="1" max="1" width="28" customWidth="1"/>
    <col min="2" max="2" width="3" customWidth="1"/>
    <col min="3" max="3" width="20" customWidth="1"/>
    <col min="4" max="4" width="42" customWidth="1"/>
    <col min="6" max="6" width="24" customWidth="1"/>
    <col min="7" max="7" width="16" customWidth="1"/>
    <col min="8" max="8" width="34" customWidth="1"/>
  </cols>
  <sheetData>
    <row r="1" spans="1:29" ht="18">
      <c r="A1" s="78" t="s">
        <v>46</v>
      </c>
      <c r="B1" s="67"/>
      <c r="C1" s="67"/>
      <c r="D1" s="6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5" t="s">
        <v>47</v>
      </c>
      <c r="B3" s="5"/>
      <c r="C3" s="5" t="s">
        <v>48</v>
      </c>
      <c r="D3" s="5" t="s">
        <v>49</v>
      </c>
      <c r="E3" s="4"/>
      <c r="F3" s="79" t="s">
        <v>50</v>
      </c>
      <c r="G3" s="79"/>
      <c r="H3" s="7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>
      <c r="A4" s="6" t="s">
        <v>51</v>
      </c>
      <c r="B4" s="4"/>
      <c r="C4" s="7" t="s">
        <v>52</v>
      </c>
      <c r="D4" s="4" t="s">
        <v>53</v>
      </c>
      <c r="E4" s="4"/>
      <c r="F4" s="6" t="s">
        <v>54</v>
      </c>
      <c r="G4" s="36">
        <v>60</v>
      </c>
      <c r="H4" s="11" t="s">
        <v>55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7.6">
      <c r="A5" s="6" t="s">
        <v>56</v>
      </c>
      <c r="B5" s="4"/>
      <c r="C5" s="7" t="s">
        <v>57</v>
      </c>
      <c r="D5" s="4" t="s">
        <v>58</v>
      </c>
      <c r="E5" s="4"/>
      <c r="F5" s="6" t="s">
        <v>59</v>
      </c>
      <c r="G5" s="36">
        <v>72</v>
      </c>
      <c r="H5" s="11" t="s">
        <v>60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6" t="s">
        <v>61</v>
      </c>
      <c r="B6" s="4"/>
      <c r="C6" s="7">
        <v>1500</v>
      </c>
      <c r="D6" s="4" t="s">
        <v>62</v>
      </c>
      <c r="E6" s="4"/>
      <c r="F6" s="6" t="s">
        <v>63</v>
      </c>
      <c r="G6" s="36">
        <v>128</v>
      </c>
      <c r="H6" s="11" t="s">
        <v>64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6" t="s">
        <v>65</v>
      </c>
      <c r="B7" s="4"/>
      <c r="C7" s="7" t="s">
        <v>66</v>
      </c>
      <c r="D7" s="4" t="s">
        <v>67</v>
      </c>
      <c r="E7" s="4"/>
      <c r="F7" s="6" t="s">
        <v>68</v>
      </c>
      <c r="G7" s="37">
        <v>99800</v>
      </c>
      <c r="H7" s="11" t="s">
        <v>69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6" t="s">
        <v>70</v>
      </c>
      <c r="B8" s="4"/>
      <c r="C8" s="8">
        <v>112000</v>
      </c>
      <c r="D8" s="4" t="s">
        <v>71</v>
      </c>
      <c r="E8" s="4"/>
      <c r="F8" s="6" t="s">
        <v>72</v>
      </c>
      <c r="G8" s="37">
        <v>292000</v>
      </c>
      <c r="H8" s="11" t="s">
        <v>73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6" t="s">
        <v>74</v>
      </c>
      <c r="B9" s="4"/>
      <c r="C9" s="8">
        <v>285000</v>
      </c>
      <c r="D9" s="4" t="s">
        <v>75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6" t="s">
        <v>76</v>
      </c>
      <c r="B10" s="4"/>
      <c r="C10" s="9">
        <v>0.02</v>
      </c>
      <c r="D10" s="4" t="s">
        <v>77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6" t="s">
        <v>78</v>
      </c>
      <c r="B11" s="4"/>
      <c r="C11" s="9">
        <v>0.08</v>
      </c>
      <c r="D11" s="4" t="s">
        <v>79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6" t="s">
        <v>80</v>
      </c>
      <c r="B12" s="4"/>
      <c r="C12" s="10">
        <v>5</v>
      </c>
      <c r="D12" s="4" t="s">
        <v>81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6" t="s">
        <v>82</v>
      </c>
      <c r="B13" s="4"/>
      <c r="C13" s="8">
        <v>1700</v>
      </c>
      <c r="D13" s="4" t="s">
        <v>83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6" t="s">
        <v>84</v>
      </c>
      <c r="B14" s="4"/>
      <c r="C14" s="8">
        <v>4500</v>
      </c>
      <c r="D14" s="4" t="s">
        <v>85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6" t="s">
        <v>86</v>
      </c>
      <c r="B15" s="4"/>
      <c r="C15" s="9">
        <v>0.1</v>
      </c>
      <c r="D15" s="4" t="s">
        <v>87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6" t="s">
        <v>88</v>
      </c>
      <c r="B16" s="4"/>
      <c r="C16" s="8">
        <v>35000</v>
      </c>
      <c r="D16" s="4" t="s">
        <v>89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6" t="s">
        <v>90</v>
      </c>
      <c r="B17" s="4"/>
      <c r="C17" s="9">
        <v>0.7</v>
      </c>
      <c r="D17" s="4" t="s">
        <v>91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">
      <c r="A19" s="4" t="s">
        <v>92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">
      <c r="A20" s="73" t="s">
        <v>93</v>
      </c>
      <c r="B20" s="67"/>
      <c r="C20" s="67"/>
      <c r="D20" s="6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48.4">
      <c r="A21" s="4" t="s">
        <v>94</v>
      </c>
      <c r="B21" s="11" t="s">
        <v>95</v>
      </c>
      <c r="C21" s="11"/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409.6">
      <c r="A22" s="4" t="s">
        <v>96</v>
      </c>
      <c r="B22" s="11" t="s">
        <v>97</v>
      </c>
      <c r="C22" s="11"/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409.6">
      <c r="A23" s="4" t="s">
        <v>98</v>
      </c>
      <c r="B23" s="11" t="s">
        <v>99</v>
      </c>
      <c r="C23" s="11"/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409.6">
      <c r="A24" s="4" t="s">
        <v>100</v>
      </c>
      <c r="B24" s="11" t="s">
        <v>101</v>
      </c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409.6">
      <c r="A25" s="4" t="s">
        <v>102</v>
      </c>
      <c r="B25" s="11" t="s">
        <v>103</v>
      </c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4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4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4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4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4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4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4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4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4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4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4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4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4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4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4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4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4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4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4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4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4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mergeCells count="3">
    <mergeCell ref="A1:D1"/>
    <mergeCell ref="A20:D20"/>
    <mergeCell ref="F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300"/>
  <sheetViews>
    <sheetView workbookViewId="0"/>
  </sheetViews>
  <sheetFormatPr defaultRowHeight="13.8"/>
  <cols>
    <col min="1" max="1" width="10" customWidth="1"/>
    <col min="2" max="2" width="12" customWidth="1"/>
    <col min="3" max="3" width="22" customWidth="1"/>
    <col min="4" max="5" width="18" customWidth="1"/>
    <col min="6" max="6" width="45" customWidth="1"/>
    <col min="7" max="7" width="14" customWidth="1"/>
    <col min="8" max="8" width="18" customWidth="1"/>
    <col min="9" max="9" width="11" customWidth="1"/>
    <col min="10" max="10" width="12" customWidth="1"/>
    <col min="11" max="11" width="20" customWidth="1"/>
    <col min="12" max="12" width="8" customWidth="1"/>
    <col min="13" max="13" width="10" customWidth="1"/>
    <col min="14" max="16" width="12" customWidth="1"/>
    <col min="17" max="18" width="16" customWidth="1"/>
    <col min="19" max="19" width="14" customWidth="1"/>
    <col min="20" max="20" width="12" customWidth="1"/>
    <col min="21" max="22" width="14" customWidth="1"/>
    <col min="23" max="24" width="10" customWidth="1"/>
    <col min="25" max="26" width="14" customWidth="1"/>
    <col min="27" max="27" width="20" customWidth="1"/>
    <col min="28" max="28" width="24" customWidth="1"/>
    <col min="29" max="29" width="36" customWidth="1"/>
    <col min="30" max="30" width="12" customWidth="1"/>
    <col min="31" max="31" width="14" customWidth="1"/>
    <col min="32" max="32" width="15" customWidth="1"/>
    <col min="33" max="34" width="14" customWidth="1"/>
    <col min="35" max="35" width="15" customWidth="1"/>
    <col min="36" max="36" width="16" customWidth="1"/>
    <col min="37" max="37" width="14" customWidth="1"/>
    <col min="38" max="38" width="15" customWidth="1"/>
    <col min="39" max="41" width="17" customWidth="1"/>
    <col min="42" max="42" width="13" customWidth="1"/>
    <col min="43" max="45" width="11" customWidth="1"/>
    <col min="46" max="46" width="30" customWidth="1"/>
    <col min="47" max="47" width="15" customWidth="1"/>
    <col min="48" max="53" width="16" customWidth="1"/>
    <col min="54" max="54" width="15" customWidth="1"/>
  </cols>
  <sheetData>
    <row r="1" spans="1:54" ht="42">
      <c r="A1" s="12" t="s">
        <v>104</v>
      </c>
      <c r="B1" s="12" t="s">
        <v>105</v>
      </c>
      <c r="C1" s="12" t="s">
        <v>20</v>
      </c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110</v>
      </c>
      <c r="I1" s="12" t="s">
        <v>111</v>
      </c>
      <c r="J1" s="12" t="s">
        <v>112</v>
      </c>
      <c r="K1" s="12" t="s">
        <v>6</v>
      </c>
      <c r="L1" s="12" t="s">
        <v>113</v>
      </c>
      <c r="M1" s="12" t="s">
        <v>114</v>
      </c>
      <c r="N1" s="12" t="s">
        <v>115</v>
      </c>
      <c r="O1" s="12" t="s">
        <v>116</v>
      </c>
      <c r="P1" s="12" t="s">
        <v>117</v>
      </c>
      <c r="Q1" s="12" t="s">
        <v>118</v>
      </c>
      <c r="R1" s="12" t="s">
        <v>119</v>
      </c>
      <c r="S1" s="12" t="s">
        <v>120</v>
      </c>
      <c r="T1" s="12" t="s">
        <v>121</v>
      </c>
      <c r="U1" s="12" t="s">
        <v>122</v>
      </c>
      <c r="V1" s="12" t="s">
        <v>123</v>
      </c>
      <c r="W1" s="12" t="s">
        <v>124</v>
      </c>
      <c r="X1" s="12" t="s">
        <v>125</v>
      </c>
      <c r="Y1" s="12" t="s">
        <v>126</v>
      </c>
      <c r="Z1" s="12" t="s">
        <v>127</v>
      </c>
      <c r="AA1" s="12" t="s">
        <v>128</v>
      </c>
      <c r="AB1" s="12" t="s">
        <v>129</v>
      </c>
      <c r="AC1" s="12" t="s">
        <v>49</v>
      </c>
      <c r="AD1" s="29" t="s">
        <v>130</v>
      </c>
      <c r="AE1" s="29" t="s">
        <v>131</v>
      </c>
      <c r="AF1" s="29" t="s">
        <v>132</v>
      </c>
      <c r="AG1" s="29" t="s">
        <v>133</v>
      </c>
      <c r="AH1" s="29" t="s">
        <v>134</v>
      </c>
      <c r="AI1" s="29" t="s">
        <v>135</v>
      </c>
      <c r="AJ1" s="29" t="s">
        <v>136</v>
      </c>
      <c r="AK1" s="29" t="s">
        <v>137</v>
      </c>
      <c r="AL1" s="29" t="s">
        <v>138</v>
      </c>
      <c r="AM1" s="29" t="s">
        <v>139</v>
      </c>
      <c r="AN1" s="29" t="s">
        <v>140</v>
      </c>
      <c r="AO1" s="29" t="s">
        <v>141</v>
      </c>
      <c r="AP1" s="29" t="s">
        <v>142</v>
      </c>
      <c r="AQ1" s="29" t="s">
        <v>143</v>
      </c>
      <c r="AR1" s="29" t="s">
        <v>144</v>
      </c>
      <c r="AS1" s="29" t="s">
        <v>145</v>
      </c>
      <c r="AT1" s="29" t="s">
        <v>146</v>
      </c>
      <c r="AU1" s="29" t="s">
        <v>147</v>
      </c>
      <c r="AV1" s="29" t="s">
        <v>148</v>
      </c>
      <c r="AW1" s="29" t="s">
        <v>149</v>
      </c>
      <c r="AX1" s="29" t="s">
        <v>150</v>
      </c>
      <c r="AY1" s="29" t="s">
        <v>151</v>
      </c>
      <c r="AZ1" s="29" t="s">
        <v>152</v>
      </c>
      <c r="BA1" s="29" t="s">
        <v>153</v>
      </c>
      <c r="BB1" s="29" t="s">
        <v>154</v>
      </c>
    </row>
    <row r="2" spans="1:54" ht="28.2">
      <c r="A2" s="13" t="s">
        <v>155</v>
      </c>
      <c r="B2" s="13" t="s">
        <v>156</v>
      </c>
      <c r="C2" s="14" t="str">
        <f>IFERROR(VLOOKUP($B2,'Cost Library'!$A$2:$M$159,2,FALSE),"")</f>
        <v>Soft Costs &amp; Due Diligence</v>
      </c>
      <c r="D2" s="14" t="str">
        <f>IFERROR(VLOOKUP($B2,'Cost Library'!$A$2:$M$159,3,FALSE),"")</f>
        <v>Inspector</v>
      </c>
      <c r="E2" s="13" t="s">
        <v>157</v>
      </c>
      <c r="F2" s="13" t="s">
        <v>158</v>
      </c>
      <c r="G2" s="13" t="str">
        <f>IFERROR(VLOOKUP($B2,'Cost Library'!$A$2:$M$159,5,FALSE),"")</f>
        <v>Inspection</v>
      </c>
      <c r="H2" s="13" t="s">
        <v>159</v>
      </c>
      <c r="I2" s="13" t="s">
        <v>160</v>
      </c>
      <c r="J2" s="13" t="s">
        <v>161</v>
      </c>
      <c r="K2" s="13" t="s">
        <v>11</v>
      </c>
      <c r="L2" s="13">
        <v>1</v>
      </c>
      <c r="M2" s="14" t="str">
        <f>IFERROR(VLOOKUP($B2,'Cost Library'!$A$2:$M$159,6,FALSE),"")</f>
        <v>project</v>
      </c>
      <c r="N2" s="15">
        <f>IFERROR(VLOOKUP($B2,'Cost Library'!$A$2:$M$159,7,FALSE),0)</f>
        <v>350</v>
      </c>
      <c r="O2" s="15">
        <f>IFERROR(VLOOKUP($B2,'Cost Library'!$A$2:$M$159,8,FALSE),0)</f>
        <v>500</v>
      </c>
      <c r="P2" s="15">
        <f>IFERROR(VLOOKUP($B2,'Cost Library'!$A$2:$M$159,9,FALSE),0)</f>
        <v>800</v>
      </c>
      <c r="Q2" s="16">
        <v>475</v>
      </c>
      <c r="R2" s="16" t="s">
        <v>162</v>
      </c>
      <c r="S2" s="17">
        <f t="shared" ref="S2:S65" si="0">IF($A2&lt;&gt;"Yes",0,IF($R2="Detailed Breakdown",$AL2,IF($R2="Contractor Quote",$Q2,IF($R2="Low",$L2*$N2,IF($R2="High",$L2*$P2,$L2*$O2)))))</f>
        <v>475</v>
      </c>
      <c r="T2" s="18">
        <f>'Project Inputs'!$C$15</f>
        <v>0.1</v>
      </c>
      <c r="U2" s="17">
        <f t="shared" ref="U2:U65" si="1">IF($A2&lt;&gt;"Yes",0,$S2*(1+$T2))</f>
        <v>522.5</v>
      </c>
      <c r="V2" s="11" t="s">
        <v>163</v>
      </c>
      <c r="W2" s="14" t="str">
        <f>IFERROR(VLOOKUP($B2,'Cost Library'!$A$2:$M$159,10,FALSE),"")</f>
        <v>No</v>
      </c>
      <c r="X2" s="11">
        <v>1</v>
      </c>
      <c r="Y2" s="11">
        <v>0</v>
      </c>
      <c r="Z2" s="11">
        <v>1</v>
      </c>
      <c r="AA2" s="11" t="s">
        <v>164</v>
      </c>
      <c r="AB2" s="11" t="s">
        <v>165</v>
      </c>
      <c r="AC2" s="11" t="s">
        <v>166</v>
      </c>
      <c r="AD2" s="30"/>
      <c r="AE2" s="31"/>
      <c r="AF2" s="3">
        <f t="shared" ref="AF2:AF65" si="2">IF(OR(AD2="",AE2=""),0,AD2*AE2)</f>
        <v>0</v>
      </c>
      <c r="AG2" s="31"/>
      <c r="AH2" s="31"/>
      <c r="AI2" s="3">
        <f t="shared" ref="AI2:AI65" si="3">IF(OR(AG2="",AH2=""),0,AG2*AH2)</f>
        <v>0</v>
      </c>
      <c r="AJ2" s="31"/>
      <c r="AK2" s="31"/>
      <c r="AL2" s="3">
        <f t="shared" ref="AL2:AL65" si="4">SUM(AF2,AI2,AJ2,AK2)</f>
        <v>0</v>
      </c>
      <c r="AM2" s="3">
        <f>IF($A2&lt;&gt;"Yes",0,IF($R2="Detailed Breakdown",$AF2,$S2*IFERROR(VLOOKUP($B2,'Cost Library'!$A$2:$Q$159,14,FALSE),0.4)))</f>
        <v>0</v>
      </c>
      <c r="AN2" s="3">
        <f>IF($A2&lt;&gt;"Yes",0,IF($R2="Detailed Breakdown",$AI2,$S2*IFERROR(VLOOKUP($B2,'Cost Library'!$A$2:$Q$159,15,FALSE),0.5)))</f>
        <v>0</v>
      </c>
      <c r="AO2" s="3">
        <f>IF($A2&lt;&gt;"Yes",0,IF($R2="Detailed Breakdown",$AJ2+$AK2,$S2*IFERROR(VLOOKUP($B2,'Cost Library'!$A$2:$Q$159,16,FALSE),0.1)))</f>
        <v>475</v>
      </c>
      <c r="AP2" s="3">
        <f t="shared" ref="AP2:AP65" si="5">IF($A2&lt;&gt;"Yes",0,$U2-$S2)</f>
        <v>47.5</v>
      </c>
      <c r="AQ2" s="32">
        <f t="shared" ref="AQ2:AQ65" si="6">IF($S2=0,0,$AM2/$S2)</f>
        <v>0</v>
      </c>
      <c r="AR2" s="32">
        <f t="shared" ref="AR2:AR65" si="7">IF($S2=0,0,$AN2/$S2)</f>
        <v>0</v>
      </c>
      <c r="AS2" s="32">
        <f t="shared" ref="AS2:AS65" si="8">IF($S2=0,0,$AO2/$S2)</f>
        <v>1</v>
      </c>
      <c r="AT2" s="2" t="str">
        <f t="shared" ref="AT2:AT65" si="9">IF($A2&lt;&gt;"Yes","",IF($R2="Detailed Breakdown","Detailed input",IF($R2="Contractor Quote","Estimated allocation - request vendor split","Planning allocation")))</f>
        <v>Estimated allocation - request vendor split</v>
      </c>
      <c r="AU2" s="31" t="s">
        <v>116</v>
      </c>
      <c r="AV2" s="3">
        <f t="shared" ref="AV2:AV65" si="10">IF($A2&lt;&gt;"Yes",0,IF($AU2="Low",$L2*$N2,IF($AU2="High",$L2*$P2,$L2*$O2)))</f>
        <v>500</v>
      </c>
      <c r="AW2" s="3">
        <f t="shared" ref="AW2:AW65" si="11">IF($A2&lt;&gt;"Yes",0,$AV2*(1+$T2))</f>
        <v>550</v>
      </c>
      <c r="AX2" s="3">
        <f t="shared" ref="AX2:AX65" si="12">IF(AND($A2="Yes",$AL2&gt;0),$AL2*(1+$T2),0)</f>
        <v>0</v>
      </c>
      <c r="AY2" s="3">
        <f t="shared" ref="AY2:AY65" si="13">IF($AX2&gt;0,$AW2,0)</f>
        <v>0</v>
      </c>
      <c r="AZ2" s="3">
        <f t="shared" ref="AZ2:AZ65" si="14">IF($AX2&gt;0,$AX2-$AY2,0)</f>
        <v>0</v>
      </c>
      <c r="BA2" s="32">
        <f t="shared" ref="BA2:BA65" si="15">IF($AY2=0,0,$AZ2/$AY2)</f>
        <v>0</v>
      </c>
      <c r="BB2" s="2" t="str">
        <f t="shared" ref="BB2:BB65" si="16">IF($A2&lt;&gt;"Yes","",IF($Q2&gt;0,"Quoted",IF($AL2&gt;0,"Detailed","Ballpark")))</f>
        <v>Quoted</v>
      </c>
    </row>
    <row r="3" spans="1:54" ht="28.2">
      <c r="A3" s="13" t="s">
        <v>155</v>
      </c>
      <c r="B3" s="13" t="s">
        <v>167</v>
      </c>
      <c r="C3" s="14" t="str">
        <f>IFERROR(VLOOKUP($B3,'Cost Library'!$A$2:$M$159,2,FALSE),"")</f>
        <v>Soft Costs &amp; Due Diligence</v>
      </c>
      <c r="D3" s="14" t="str">
        <f>IFERROR(VLOOKUP($B3,'Cost Library'!$A$2:$M$159,3,FALSE),"")</f>
        <v>Inspector</v>
      </c>
      <c r="E3" s="13" t="s">
        <v>168</v>
      </c>
      <c r="F3" s="13" t="s">
        <v>169</v>
      </c>
      <c r="G3" s="13" t="str">
        <f>IFERROR(VLOOKUP($B3,'Cost Library'!$A$2:$M$159,5,FALSE),"")</f>
        <v>Inspection</v>
      </c>
      <c r="H3" s="13" t="s">
        <v>159</v>
      </c>
      <c r="I3" s="13" t="s">
        <v>117</v>
      </c>
      <c r="J3" s="13" t="s">
        <v>161</v>
      </c>
      <c r="K3" s="13" t="s">
        <v>11</v>
      </c>
      <c r="L3" s="13">
        <v>1</v>
      </c>
      <c r="M3" s="14" t="str">
        <f>IFERROR(VLOOKUP($B3,'Cost Library'!$A$2:$M$159,6,FALSE),"")</f>
        <v>project</v>
      </c>
      <c r="N3" s="15">
        <f>IFERROR(VLOOKUP($B3,'Cost Library'!$A$2:$M$159,7,FALSE),0)</f>
        <v>200</v>
      </c>
      <c r="O3" s="15">
        <f>IFERROR(VLOOKUP($B3,'Cost Library'!$A$2:$M$159,8,FALSE),0)</f>
        <v>350</v>
      </c>
      <c r="P3" s="15">
        <f>IFERROR(VLOOKUP($B3,'Cost Library'!$A$2:$M$159,9,FALSE),0)</f>
        <v>600</v>
      </c>
      <c r="Q3" s="16">
        <v>325</v>
      </c>
      <c r="R3" s="16" t="s">
        <v>162</v>
      </c>
      <c r="S3" s="17">
        <f t="shared" si="0"/>
        <v>325</v>
      </c>
      <c r="T3" s="18">
        <f>'Project Inputs'!$C$15</f>
        <v>0.1</v>
      </c>
      <c r="U3" s="17">
        <f t="shared" si="1"/>
        <v>357.50000000000006</v>
      </c>
      <c r="V3" s="11" t="s">
        <v>163</v>
      </c>
      <c r="W3" s="14" t="str">
        <f>IFERROR(VLOOKUP($B3,'Cost Library'!$A$2:$M$159,10,FALSE),"")</f>
        <v>No</v>
      </c>
      <c r="X3" s="11">
        <v>1</v>
      </c>
      <c r="Y3" s="11">
        <v>0</v>
      </c>
      <c r="Z3" s="11">
        <v>1</v>
      </c>
      <c r="AA3" s="11" t="s">
        <v>170</v>
      </c>
      <c r="AB3" s="11" t="s">
        <v>171</v>
      </c>
      <c r="AC3" s="11" t="s">
        <v>166</v>
      </c>
      <c r="AD3" s="30"/>
      <c r="AE3" s="31"/>
      <c r="AF3" s="3">
        <f t="shared" si="2"/>
        <v>0</v>
      </c>
      <c r="AG3" s="31"/>
      <c r="AH3" s="31"/>
      <c r="AI3" s="3">
        <f t="shared" si="3"/>
        <v>0</v>
      </c>
      <c r="AJ3" s="31"/>
      <c r="AK3" s="31"/>
      <c r="AL3" s="3">
        <f t="shared" si="4"/>
        <v>0</v>
      </c>
      <c r="AM3" s="3">
        <f>IF($A3&lt;&gt;"Yes",0,IF($R3="Detailed Breakdown",$AF3,$S3*IFERROR(VLOOKUP($B3,'Cost Library'!$A$2:$Q$159,14,FALSE),0.4)))</f>
        <v>0</v>
      </c>
      <c r="AN3" s="3">
        <f>IF($A3&lt;&gt;"Yes",0,IF($R3="Detailed Breakdown",$AI3,$S3*IFERROR(VLOOKUP($B3,'Cost Library'!$A$2:$Q$159,15,FALSE),0.5)))</f>
        <v>0</v>
      </c>
      <c r="AO3" s="3">
        <f>IF($A3&lt;&gt;"Yes",0,IF($R3="Detailed Breakdown",$AJ3+$AK3,$S3*IFERROR(VLOOKUP($B3,'Cost Library'!$A$2:$Q$159,16,FALSE),0.1)))</f>
        <v>325</v>
      </c>
      <c r="AP3" s="3">
        <f t="shared" si="5"/>
        <v>32.500000000000057</v>
      </c>
      <c r="AQ3" s="32">
        <f t="shared" si="6"/>
        <v>0</v>
      </c>
      <c r="AR3" s="32">
        <f t="shared" si="7"/>
        <v>0</v>
      </c>
      <c r="AS3" s="32">
        <f t="shared" si="8"/>
        <v>1</v>
      </c>
      <c r="AT3" s="2" t="str">
        <f t="shared" si="9"/>
        <v>Estimated allocation - request vendor split</v>
      </c>
      <c r="AU3" s="31" t="s">
        <v>116</v>
      </c>
      <c r="AV3" s="3">
        <f t="shared" si="10"/>
        <v>350</v>
      </c>
      <c r="AW3" s="3">
        <f t="shared" si="11"/>
        <v>385.00000000000006</v>
      </c>
      <c r="AX3" s="3">
        <f t="shared" si="12"/>
        <v>0</v>
      </c>
      <c r="AY3" s="3">
        <f t="shared" si="13"/>
        <v>0</v>
      </c>
      <c r="AZ3" s="3">
        <f t="shared" si="14"/>
        <v>0</v>
      </c>
      <c r="BA3" s="32">
        <f t="shared" si="15"/>
        <v>0</v>
      </c>
      <c r="BB3" s="2" t="str">
        <f t="shared" si="16"/>
        <v>Quoted</v>
      </c>
    </row>
    <row r="4" spans="1:54" ht="28.2">
      <c r="A4" s="13" t="s">
        <v>155</v>
      </c>
      <c r="B4" s="13" t="s">
        <v>172</v>
      </c>
      <c r="C4" s="14" t="str">
        <f>IFERROR(VLOOKUP($B4,'Cost Library'!$A$2:$M$159,2,FALSE),"")</f>
        <v>Structure &amp; Foundation</v>
      </c>
      <c r="D4" s="14" t="str">
        <f>IFERROR(VLOOKUP($B4,'Cost Library'!$A$2:$M$159,3,FALSE),"")</f>
        <v>Structural Engineer</v>
      </c>
      <c r="E4" s="13" t="s">
        <v>173</v>
      </c>
      <c r="F4" s="13" t="s">
        <v>174</v>
      </c>
      <c r="G4" s="13" t="str">
        <f>IFERROR(VLOOKUP($B4,'Cost Library'!$A$2:$M$159,5,FALSE),"")</f>
        <v>Inspection</v>
      </c>
      <c r="H4" s="13" t="s">
        <v>159</v>
      </c>
      <c r="I4" s="13" t="s">
        <v>175</v>
      </c>
      <c r="J4" s="13" t="s">
        <v>155</v>
      </c>
      <c r="K4" s="13" t="s">
        <v>11</v>
      </c>
      <c r="L4" s="13">
        <v>1</v>
      </c>
      <c r="M4" s="14" t="str">
        <f>IFERROR(VLOOKUP($B4,'Cost Library'!$A$2:$M$159,6,FALSE),"")</f>
        <v>project</v>
      </c>
      <c r="N4" s="15">
        <f>IFERROR(VLOOKUP($B4,'Cost Library'!$A$2:$M$159,7,FALSE),0)</f>
        <v>400</v>
      </c>
      <c r="O4" s="15">
        <f>IFERROR(VLOOKUP($B4,'Cost Library'!$A$2:$M$159,8,FALSE),0)</f>
        <v>750</v>
      </c>
      <c r="P4" s="15">
        <f>IFERROR(VLOOKUP($B4,'Cost Library'!$A$2:$M$159,9,FALSE),0)</f>
        <v>1200</v>
      </c>
      <c r="Q4" s="16">
        <v>650</v>
      </c>
      <c r="R4" s="16" t="s">
        <v>162</v>
      </c>
      <c r="S4" s="17">
        <f t="shared" si="0"/>
        <v>650</v>
      </c>
      <c r="T4" s="18">
        <f>'Project Inputs'!$C$15</f>
        <v>0.1</v>
      </c>
      <c r="U4" s="17">
        <f t="shared" si="1"/>
        <v>715.00000000000011</v>
      </c>
      <c r="V4" s="11" t="s">
        <v>163</v>
      </c>
      <c r="W4" s="14" t="str">
        <f>IFERROR(VLOOKUP($B4,'Cost Library'!$A$2:$M$159,10,FALSE),"")</f>
        <v>No</v>
      </c>
      <c r="X4" s="11">
        <v>2</v>
      </c>
      <c r="Y4" s="11">
        <v>0</v>
      </c>
      <c r="Z4" s="11">
        <v>1</v>
      </c>
      <c r="AA4" s="11" t="s">
        <v>176</v>
      </c>
      <c r="AB4" s="11" t="s">
        <v>177</v>
      </c>
      <c r="AC4" s="11" t="s">
        <v>178</v>
      </c>
      <c r="AD4" s="30"/>
      <c r="AE4" s="31"/>
      <c r="AF4" s="3">
        <f t="shared" si="2"/>
        <v>0</v>
      </c>
      <c r="AG4" s="31"/>
      <c r="AH4" s="31"/>
      <c r="AI4" s="3">
        <f t="shared" si="3"/>
        <v>0</v>
      </c>
      <c r="AJ4" s="31"/>
      <c r="AK4" s="31"/>
      <c r="AL4" s="3">
        <f t="shared" si="4"/>
        <v>0</v>
      </c>
      <c r="AM4" s="3">
        <f>IF($A4&lt;&gt;"Yes",0,IF($R4="Detailed Breakdown",$AF4,$S4*IFERROR(VLOOKUP($B4,'Cost Library'!$A$2:$Q$159,14,FALSE),0.4)))</f>
        <v>0</v>
      </c>
      <c r="AN4" s="3">
        <f>IF($A4&lt;&gt;"Yes",0,IF($R4="Detailed Breakdown",$AI4,$S4*IFERROR(VLOOKUP($B4,'Cost Library'!$A$2:$Q$159,15,FALSE),0.5)))</f>
        <v>0</v>
      </c>
      <c r="AO4" s="3">
        <f>IF($A4&lt;&gt;"Yes",0,IF($R4="Detailed Breakdown",$AJ4+$AK4,$S4*IFERROR(VLOOKUP($B4,'Cost Library'!$A$2:$Q$159,16,FALSE),0.1)))</f>
        <v>650</v>
      </c>
      <c r="AP4" s="3">
        <f t="shared" si="5"/>
        <v>65.000000000000114</v>
      </c>
      <c r="AQ4" s="32">
        <f t="shared" si="6"/>
        <v>0</v>
      </c>
      <c r="AR4" s="32">
        <f t="shared" si="7"/>
        <v>0</v>
      </c>
      <c r="AS4" s="32">
        <f t="shared" si="8"/>
        <v>1</v>
      </c>
      <c r="AT4" s="2" t="str">
        <f t="shared" si="9"/>
        <v>Estimated allocation - request vendor split</v>
      </c>
      <c r="AU4" s="31" t="s">
        <v>116</v>
      </c>
      <c r="AV4" s="3">
        <f t="shared" si="10"/>
        <v>750</v>
      </c>
      <c r="AW4" s="3">
        <f t="shared" si="11"/>
        <v>825.00000000000011</v>
      </c>
      <c r="AX4" s="3">
        <f t="shared" si="12"/>
        <v>0</v>
      </c>
      <c r="AY4" s="3">
        <f t="shared" si="13"/>
        <v>0</v>
      </c>
      <c r="AZ4" s="3">
        <f t="shared" si="14"/>
        <v>0</v>
      </c>
      <c r="BA4" s="32">
        <f t="shared" si="15"/>
        <v>0</v>
      </c>
      <c r="BB4" s="2" t="str">
        <f t="shared" si="16"/>
        <v>Quoted</v>
      </c>
    </row>
    <row r="5" spans="1:54" ht="27.6">
      <c r="A5" s="13" t="s">
        <v>155</v>
      </c>
      <c r="B5" s="13" t="s">
        <v>179</v>
      </c>
      <c r="C5" s="14" t="str">
        <f>IFERROR(VLOOKUP($B5,'Cost Library'!$A$2:$M$159,2,FALSE),"")</f>
        <v>Roof &amp; Attic</v>
      </c>
      <c r="D5" s="14" t="str">
        <f>IFERROR(VLOOKUP($B5,'Cost Library'!$A$2:$M$159,3,FALSE),"")</f>
        <v>Roofing</v>
      </c>
      <c r="E5" s="13" t="s">
        <v>180</v>
      </c>
      <c r="F5" s="13" t="s">
        <v>181</v>
      </c>
      <c r="G5" s="13" t="str">
        <f>IFERROR(VLOOKUP($B5,'Cost Library'!$A$2:$M$159,5,FALSE),"")</f>
        <v>Replace</v>
      </c>
      <c r="H5" s="13" t="s">
        <v>159</v>
      </c>
      <c r="I5" s="13" t="s">
        <v>175</v>
      </c>
      <c r="J5" s="13" t="s">
        <v>155</v>
      </c>
      <c r="K5" s="13" t="s">
        <v>11</v>
      </c>
      <c r="L5" s="13">
        <v>1</v>
      </c>
      <c r="M5" s="14" t="str">
        <f>IFERROR(VLOOKUP($B5,'Cost Library'!$A$2:$M$159,6,FALSE),"")</f>
        <v>project</v>
      </c>
      <c r="N5" s="15">
        <f>IFERROR(VLOOKUP($B5,'Cost Library'!$A$2:$M$159,7,FALSE),0)</f>
        <v>5433</v>
      </c>
      <c r="O5" s="15">
        <f>IFERROR(VLOOKUP($B5,'Cost Library'!$A$2:$M$159,8,FALSE),0)</f>
        <v>8155</v>
      </c>
      <c r="P5" s="15">
        <f>IFERROR(VLOOKUP($B5,'Cost Library'!$A$2:$M$159,9,FALSE),0)</f>
        <v>11032</v>
      </c>
      <c r="Q5" s="16"/>
      <c r="R5" s="16" t="s">
        <v>182</v>
      </c>
      <c r="S5" s="17">
        <f t="shared" si="0"/>
        <v>9900</v>
      </c>
      <c r="T5" s="18">
        <f>'Project Inputs'!$C$15</f>
        <v>0.1</v>
      </c>
      <c r="U5" s="17">
        <f t="shared" si="1"/>
        <v>10890</v>
      </c>
      <c r="V5" s="11" t="s">
        <v>183</v>
      </c>
      <c r="W5" s="14" t="str">
        <f>IFERROR(VLOOKUP($B5,'Cost Library'!$A$2:$M$159,10,FALSE),"")</f>
        <v>Yes</v>
      </c>
      <c r="X5" s="11">
        <v>4</v>
      </c>
      <c r="Y5" s="11">
        <v>12000</v>
      </c>
      <c r="Z5" s="11">
        <v>3</v>
      </c>
      <c r="AA5" s="11" t="s">
        <v>184</v>
      </c>
      <c r="AB5" s="11" t="s">
        <v>185</v>
      </c>
      <c r="AC5" s="11" t="s">
        <v>186</v>
      </c>
      <c r="AD5" s="30">
        <v>1</v>
      </c>
      <c r="AE5" s="31">
        <v>4200</v>
      </c>
      <c r="AF5" s="3">
        <f t="shared" si="2"/>
        <v>4200</v>
      </c>
      <c r="AG5" s="31">
        <v>1</v>
      </c>
      <c r="AH5" s="31">
        <v>4000</v>
      </c>
      <c r="AI5" s="3">
        <f t="shared" si="3"/>
        <v>4000</v>
      </c>
      <c r="AJ5" s="31">
        <v>1400</v>
      </c>
      <c r="AK5" s="31">
        <v>300</v>
      </c>
      <c r="AL5" s="3">
        <f t="shared" si="4"/>
        <v>9900</v>
      </c>
      <c r="AM5" s="3">
        <f>IF($A5&lt;&gt;"Yes",0,IF($R5="Detailed Breakdown",$AF5,$S5*IFERROR(VLOOKUP($B5,'Cost Library'!$A$2:$Q$159,14,FALSE),0.4)))</f>
        <v>4200</v>
      </c>
      <c r="AN5" s="3">
        <f>IF($A5&lt;&gt;"Yes",0,IF($R5="Detailed Breakdown",$AI5,$S5*IFERROR(VLOOKUP($B5,'Cost Library'!$A$2:$Q$159,15,FALSE),0.5)))</f>
        <v>4000</v>
      </c>
      <c r="AO5" s="3">
        <f>IF($A5&lt;&gt;"Yes",0,IF($R5="Detailed Breakdown",$AJ5+$AK5,$S5*IFERROR(VLOOKUP($B5,'Cost Library'!$A$2:$Q$159,16,FALSE),0.1)))</f>
        <v>1700</v>
      </c>
      <c r="AP5" s="3">
        <f t="shared" si="5"/>
        <v>990</v>
      </c>
      <c r="AQ5" s="32">
        <f t="shared" si="6"/>
        <v>0.42424242424242425</v>
      </c>
      <c r="AR5" s="32">
        <f t="shared" si="7"/>
        <v>0.40404040404040403</v>
      </c>
      <c r="AS5" s="32">
        <f t="shared" si="8"/>
        <v>0.17171717171717171</v>
      </c>
      <c r="AT5" s="2" t="str">
        <f t="shared" si="9"/>
        <v>Detailed input</v>
      </c>
      <c r="AU5" s="31" t="s">
        <v>116</v>
      </c>
      <c r="AV5" s="3">
        <f t="shared" si="10"/>
        <v>8155</v>
      </c>
      <c r="AW5" s="3">
        <f t="shared" si="11"/>
        <v>8970.5</v>
      </c>
      <c r="AX5" s="3">
        <f t="shared" si="12"/>
        <v>10890</v>
      </c>
      <c r="AY5" s="3">
        <f t="shared" si="13"/>
        <v>8970.5</v>
      </c>
      <c r="AZ5" s="3">
        <f t="shared" si="14"/>
        <v>1919.5</v>
      </c>
      <c r="BA5" s="32">
        <f t="shared" si="15"/>
        <v>0.21397915389331698</v>
      </c>
      <c r="BB5" s="2" t="str">
        <f t="shared" si="16"/>
        <v>Detailed</v>
      </c>
    </row>
    <row r="6" spans="1:54" ht="27.6">
      <c r="A6" s="13" t="s">
        <v>155</v>
      </c>
      <c r="B6" s="13" t="s">
        <v>187</v>
      </c>
      <c r="C6" s="14" t="str">
        <f>IFERROR(VLOOKUP($B6,'Cost Library'!$A$2:$M$159,2,FALSE),"")</f>
        <v>Electrical</v>
      </c>
      <c r="D6" s="14" t="str">
        <f>IFERROR(VLOOKUP($B6,'Cost Library'!$A$2:$M$159,3,FALSE),"")</f>
        <v>Electrician</v>
      </c>
      <c r="E6" s="13" t="s">
        <v>188</v>
      </c>
      <c r="F6" s="13" t="s">
        <v>189</v>
      </c>
      <c r="G6" s="13" t="str">
        <f>IFERROR(VLOOKUP($B6,'Cost Library'!$A$2:$M$159,5,FALSE),"")</f>
        <v>Replace</v>
      </c>
      <c r="H6" s="13" t="s">
        <v>159</v>
      </c>
      <c r="I6" s="13" t="s">
        <v>175</v>
      </c>
      <c r="J6" s="13" t="s">
        <v>155</v>
      </c>
      <c r="K6" s="13" t="s">
        <v>11</v>
      </c>
      <c r="L6" s="13">
        <v>1</v>
      </c>
      <c r="M6" s="14" t="str">
        <f>IFERROR(VLOOKUP($B6,'Cost Library'!$A$2:$M$159,6,FALSE),"")</f>
        <v>project</v>
      </c>
      <c r="N6" s="15">
        <f>IFERROR(VLOOKUP($B6,'Cost Library'!$A$2:$M$159,7,FALSE),0)</f>
        <v>1800</v>
      </c>
      <c r="O6" s="15">
        <f>IFERROR(VLOOKUP($B6,'Cost Library'!$A$2:$M$159,8,FALSE),0)</f>
        <v>3000</v>
      </c>
      <c r="P6" s="15">
        <f>IFERROR(VLOOKUP($B6,'Cost Library'!$A$2:$M$159,9,FALSE),0)</f>
        <v>5000</v>
      </c>
      <c r="Q6" s="16"/>
      <c r="R6" s="16" t="s">
        <v>182</v>
      </c>
      <c r="S6" s="17">
        <f t="shared" si="0"/>
        <v>3600</v>
      </c>
      <c r="T6" s="18">
        <f>'Project Inputs'!$C$15</f>
        <v>0.1</v>
      </c>
      <c r="U6" s="17">
        <f t="shared" si="1"/>
        <v>3960.0000000000005</v>
      </c>
      <c r="V6" s="11" t="s">
        <v>183</v>
      </c>
      <c r="W6" s="14" t="str">
        <f>IFERROR(VLOOKUP($B6,'Cost Library'!$A$2:$M$159,10,FALSE),"")</f>
        <v>Yes</v>
      </c>
      <c r="X6" s="11">
        <v>2</v>
      </c>
      <c r="Y6" s="11">
        <v>5000</v>
      </c>
      <c r="Z6" s="11">
        <v>2</v>
      </c>
      <c r="AA6" s="11" t="s">
        <v>190</v>
      </c>
      <c r="AB6" s="11" t="s">
        <v>191</v>
      </c>
      <c r="AC6" s="11" t="s">
        <v>192</v>
      </c>
      <c r="AD6" s="30">
        <v>1</v>
      </c>
      <c r="AE6" s="31">
        <v>1450</v>
      </c>
      <c r="AF6" s="3">
        <f t="shared" si="2"/>
        <v>1450</v>
      </c>
      <c r="AG6" s="31">
        <v>1</v>
      </c>
      <c r="AH6" s="31">
        <v>1800</v>
      </c>
      <c r="AI6" s="3">
        <f t="shared" si="3"/>
        <v>1800</v>
      </c>
      <c r="AJ6" s="31">
        <v>0</v>
      </c>
      <c r="AK6" s="31">
        <v>350</v>
      </c>
      <c r="AL6" s="3">
        <f t="shared" si="4"/>
        <v>3600</v>
      </c>
      <c r="AM6" s="3">
        <f>IF($A6&lt;&gt;"Yes",0,IF($R6="Detailed Breakdown",$AF6,$S6*IFERROR(VLOOKUP($B6,'Cost Library'!$A$2:$Q$159,14,FALSE),0.4)))</f>
        <v>1450</v>
      </c>
      <c r="AN6" s="3">
        <f>IF($A6&lt;&gt;"Yes",0,IF($R6="Detailed Breakdown",$AI6,$S6*IFERROR(VLOOKUP($B6,'Cost Library'!$A$2:$Q$159,15,FALSE),0.5)))</f>
        <v>1800</v>
      </c>
      <c r="AO6" s="3">
        <f>IF($A6&lt;&gt;"Yes",0,IF($R6="Detailed Breakdown",$AJ6+$AK6,$S6*IFERROR(VLOOKUP($B6,'Cost Library'!$A$2:$Q$159,16,FALSE),0.1)))</f>
        <v>350</v>
      </c>
      <c r="AP6" s="3">
        <f t="shared" si="5"/>
        <v>360.00000000000045</v>
      </c>
      <c r="AQ6" s="32">
        <f t="shared" si="6"/>
        <v>0.40277777777777779</v>
      </c>
      <c r="AR6" s="32">
        <f t="shared" si="7"/>
        <v>0.5</v>
      </c>
      <c r="AS6" s="32">
        <f t="shared" si="8"/>
        <v>9.7222222222222224E-2</v>
      </c>
      <c r="AT6" s="2" t="str">
        <f t="shared" si="9"/>
        <v>Detailed input</v>
      </c>
      <c r="AU6" s="31" t="s">
        <v>116</v>
      </c>
      <c r="AV6" s="3">
        <f t="shared" si="10"/>
        <v>3000</v>
      </c>
      <c r="AW6" s="3">
        <f t="shared" si="11"/>
        <v>3300.0000000000005</v>
      </c>
      <c r="AX6" s="3">
        <f t="shared" si="12"/>
        <v>3960.0000000000005</v>
      </c>
      <c r="AY6" s="3">
        <f t="shared" si="13"/>
        <v>3300.0000000000005</v>
      </c>
      <c r="AZ6" s="3">
        <f t="shared" si="14"/>
        <v>660</v>
      </c>
      <c r="BA6" s="32">
        <f t="shared" si="15"/>
        <v>0.19999999999999998</v>
      </c>
      <c r="BB6" s="2" t="str">
        <f t="shared" si="16"/>
        <v>Detailed</v>
      </c>
    </row>
    <row r="7" spans="1:54" ht="27.6">
      <c r="A7" s="13" t="s">
        <v>155</v>
      </c>
      <c r="B7" s="13" t="s">
        <v>193</v>
      </c>
      <c r="C7" s="14" t="str">
        <f>IFERROR(VLOOKUP($B7,'Cost Library'!$A$2:$M$159,2,FALSE),"")</f>
        <v>Plumbing &amp; Sewer</v>
      </c>
      <c r="D7" s="14" t="str">
        <f>IFERROR(VLOOKUP($B7,'Cost Library'!$A$2:$M$159,3,FALSE),"")</f>
        <v>Plumber</v>
      </c>
      <c r="E7" s="13" t="s">
        <v>194</v>
      </c>
      <c r="F7" s="13" t="s">
        <v>195</v>
      </c>
      <c r="G7" s="13" t="str">
        <f>IFERROR(VLOOKUP($B7,'Cost Library'!$A$2:$M$159,5,FALSE),"")</f>
        <v>Repair</v>
      </c>
      <c r="H7" s="13" t="s">
        <v>196</v>
      </c>
      <c r="I7" s="13" t="s">
        <v>175</v>
      </c>
      <c r="J7" s="13" t="s">
        <v>155</v>
      </c>
      <c r="K7" s="13" t="s">
        <v>11</v>
      </c>
      <c r="L7" s="13">
        <v>1</v>
      </c>
      <c r="M7" s="14" t="str">
        <f>IFERROR(VLOOKUP($B7,'Cost Library'!$A$2:$M$159,6,FALSE),"")</f>
        <v>project</v>
      </c>
      <c r="N7" s="15">
        <f>IFERROR(VLOOKUP($B7,'Cost Library'!$A$2:$M$159,7,FALSE),0)</f>
        <v>1500</v>
      </c>
      <c r="O7" s="15">
        <f>IFERROR(VLOOKUP($B7,'Cost Library'!$A$2:$M$159,8,FALSE),0)</f>
        <v>5000</v>
      </c>
      <c r="P7" s="15">
        <f>IFERROR(VLOOKUP($B7,'Cost Library'!$A$2:$M$159,9,FALSE),0)</f>
        <v>12000</v>
      </c>
      <c r="Q7" s="16"/>
      <c r="R7" s="16" t="s">
        <v>182</v>
      </c>
      <c r="S7" s="17">
        <f t="shared" si="0"/>
        <v>7500</v>
      </c>
      <c r="T7" s="18">
        <f>'Project Inputs'!$C$15</f>
        <v>0.1</v>
      </c>
      <c r="U7" s="17">
        <f t="shared" si="1"/>
        <v>8250</v>
      </c>
      <c r="V7" s="11" t="s">
        <v>183</v>
      </c>
      <c r="W7" s="14" t="str">
        <f>IFERROR(VLOOKUP($B7,'Cost Library'!$A$2:$M$159,10,FALSE),"")</f>
        <v>Yes</v>
      </c>
      <c r="X7" s="11">
        <v>3</v>
      </c>
      <c r="Y7" s="11">
        <v>0</v>
      </c>
      <c r="Z7" s="11">
        <v>1</v>
      </c>
      <c r="AA7" s="11" t="s">
        <v>197</v>
      </c>
      <c r="AB7" s="11" t="s">
        <v>198</v>
      </c>
      <c r="AC7" s="11" t="s">
        <v>199</v>
      </c>
      <c r="AD7" s="30">
        <v>1</v>
      </c>
      <c r="AE7" s="31">
        <v>1800</v>
      </c>
      <c r="AF7" s="3">
        <f t="shared" si="2"/>
        <v>1800</v>
      </c>
      <c r="AG7" s="31">
        <v>1</v>
      </c>
      <c r="AH7" s="31">
        <v>3000</v>
      </c>
      <c r="AI7" s="3">
        <f t="shared" si="3"/>
        <v>3000</v>
      </c>
      <c r="AJ7" s="31">
        <v>2200</v>
      </c>
      <c r="AK7" s="31">
        <v>500</v>
      </c>
      <c r="AL7" s="3">
        <f t="shared" si="4"/>
        <v>7500</v>
      </c>
      <c r="AM7" s="3">
        <f>IF($A7&lt;&gt;"Yes",0,IF($R7="Detailed Breakdown",$AF7,$S7*IFERROR(VLOOKUP($B7,'Cost Library'!$A$2:$Q$159,14,FALSE),0.4)))</f>
        <v>1800</v>
      </c>
      <c r="AN7" s="3">
        <f>IF($A7&lt;&gt;"Yes",0,IF($R7="Detailed Breakdown",$AI7,$S7*IFERROR(VLOOKUP($B7,'Cost Library'!$A$2:$Q$159,15,FALSE),0.5)))</f>
        <v>3000</v>
      </c>
      <c r="AO7" s="3">
        <f>IF($A7&lt;&gt;"Yes",0,IF($R7="Detailed Breakdown",$AJ7+$AK7,$S7*IFERROR(VLOOKUP($B7,'Cost Library'!$A$2:$Q$159,16,FALSE),0.1)))</f>
        <v>2700</v>
      </c>
      <c r="AP7" s="3">
        <f t="shared" si="5"/>
        <v>750</v>
      </c>
      <c r="AQ7" s="32">
        <f t="shared" si="6"/>
        <v>0.24</v>
      </c>
      <c r="AR7" s="32">
        <f t="shared" si="7"/>
        <v>0.4</v>
      </c>
      <c r="AS7" s="32">
        <f t="shared" si="8"/>
        <v>0.36</v>
      </c>
      <c r="AT7" s="2" t="str">
        <f t="shared" si="9"/>
        <v>Detailed input</v>
      </c>
      <c r="AU7" s="31" t="s">
        <v>116</v>
      </c>
      <c r="AV7" s="3">
        <f t="shared" si="10"/>
        <v>5000</v>
      </c>
      <c r="AW7" s="3">
        <f t="shared" si="11"/>
        <v>5500</v>
      </c>
      <c r="AX7" s="3">
        <f t="shared" si="12"/>
        <v>8250</v>
      </c>
      <c r="AY7" s="3">
        <f t="shared" si="13"/>
        <v>5500</v>
      </c>
      <c r="AZ7" s="3">
        <f t="shared" si="14"/>
        <v>2750</v>
      </c>
      <c r="BA7" s="32">
        <f t="shared" si="15"/>
        <v>0.5</v>
      </c>
      <c r="BB7" s="2" t="str">
        <f t="shared" si="16"/>
        <v>Detailed</v>
      </c>
    </row>
    <row r="8" spans="1:54" ht="27.6">
      <c r="A8" s="13" t="s">
        <v>155</v>
      </c>
      <c r="B8" s="13" t="s">
        <v>200</v>
      </c>
      <c r="C8" s="14" t="str">
        <f>IFERROR(VLOOKUP($B8,'Cost Library'!$A$2:$M$159,2,FALSE),"")</f>
        <v>HVAC</v>
      </c>
      <c r="D8" s="14" t="str">
        <f>IFERROR(VLOOKUP($B8,'Cost Library'!$A$2:$M$159,3,FALSE),"")</f>
        <v>HVAC</v>
      </c>
      <c r="E8" s="13" t="s">
        <v>157</v>
      </c>
      <c r="F8" s="13" t="s">
        <v>201</v>
      </c>
      <c r="G8" s="13" t="str">
        <f>IFERROR(VLOOKUP($B8,'Cost Library'!$A$2:$M$159,5,FALSE),"")</f>
        <v>Replace</v>
      </c>
      <c r="H8" s="13" t="s">
        <v>159</v>
      </c>
      <c r="I8" s="13" t="s">
        <v>117</v>
      </c>
      <c r="J8" s="13" t="s">
        <v>161</v>
      </c>
      <c r="K8" s="13" t="s">
        <v>13</v>
      </c>
      <c r="L8" s="13">
        <v>1</v>
      </c>
      <c r="M8" s="14" t="str">
        <f>IFERROR(VLOOKUP($B8,'Cost Library'!$A$2:$M$159,6,FALSE),"")</f>
        <v>project</v>
      </c>
      <c r="N8" s="15">
        <f>IFERROR(VLOOKUP($B8,'Cost Library'!$A$2:$M$159,7,FALSE),0)</f>
        <v>4755</v>
      </c>
      <c r="O8" s="15">
        <f>IFERROR(VLOOKUP($B8,'Cost Library'!$A$2:$M$159,8,FALSE),0)</f>
        <v>7133</v>
      </c>
      <c r="P8" s="15">
        <f>IFERROR(VLOOKUP($B8,'Cost Library'!$A$2:$M$159,9,FALSE),0)</f>
        <v>11888</v>
      </c>
      <c r="Q8" s="16"/>
      <c r="R8" s="16" t="s">
        <v>182</v>
      </c>
      <c r="S8" s="17">
        <f t="shared" si="0"/>
        <v>7900</v>
      </c>
      <c r="T8" s="18">
        <f>'Project Inputs'!$C$15</f>
        <v>0.1</v>
      </c>
      <c r="U8" s="17">
        <f t="shared" si="1"/>
        <v>8690</v>
      </c>
      <c r="V8" s="11" t="s">
        <v>183</v>
      </c>
      <c r="W8" s="14" t="str">
        <f>IFERROR(VLOOKUP($B8,'Cost Library'!$A$2:$M$159,10,FALSE),"")</f>
        <v>Yes</v>
      </c>
      <c r="X8" s="11">
        <v>3</v>
      </c>
      <c r="Y8" s="11">
        <v>8000</v>
      </c>
      <c r="Z8" s="11">
        <v>3</v>
      </c>
      <c r="AA8" s="11" t="s">
        <v>202</v>
      </c>
      <c r="AB8" s="11" t="s">
        <v>203</v>
      </c>
      <c r="AC8" s="11" t="s">
        <v>204</v>
      </c>
      <c r="AD8" s="30">
        <v>1</v>
      </c>
      <c r="AE8" s="31">
        <v>4600</v>
      </c>
      <c r="AF8" s="3">
        <f t="shared" si="2"/>
        <v>4600</v>
      </c>
      <c r="AG8" s="31">
        <v>1</v>
      </c>
      <c r="AH8" s="31">
        <v>2800</v>
      </c>
      <c r="AI8" s="3">
        <f t="shared" si="3"/>
        <v>2800</v>
      </c>
      <c r="AJ8" s="31">
        <v>300</v>
      </c>
      <c r="AK8" s="31">
        <v>200</v>
      </c>
      <c r="AL8" s="3">
        <f t="shared" si="4"/>
        <v>7900</v>
      </c>
      <c r="AM8" s="3">
        <f>IF($A8&lt;&gt;"Yes",0,IF($R8="Detailed Breakdown",$AF8,$S8*IFERROR(VLOOKUP($B8,'Cost Library'!$A$2:$Q$159,14,FALSE),0.4)))</f>
        <v>4600</v>
      </c>
      <c r="AN8" s="3">
        <f>IF($A8&lt;&gt;"Yes",0,IF($R8="Detailed Breakdown",$AI8,$S8*IFERROR(VLOOKUP($B8,'Cost Library'!$A$2:$Q$159,15,FALSE),0.5)))</f>
        <v>2800</v>
      </c>
      <c r="AO8" s="3">
        <f>IF($A8&lt;&gt;"Yes",0,IF($R8="Detailed Breakdown",$AJ8+$AK8,$S8*IFERROR(VLOOKUP($B8,'Cost Library'!$A$2:$Q$159,16,FALSE),0.1)))</f>
        <v>500</v>
      </c>
      <c r="AP8" s="3">
        <f t="shared" si="5"/>
        <v>790</v>
      </c>
      <c r="AQ8" s="32">
        <f t="shared" si="6"/>
        <v>0.58227848101265822</v>
      </c>
      <c r="AR8" s="32">
        <f t="shared" si="7"/>
        <v>0.35443037974683544</v>
      </c>
      <c r="AS8" s="32">
        <f t="shared" si="8"/>
        <v>6.3291139240506333E-2</v>
      </c>
      <c r="AT8" s="2" t="str">
        <f t="shared" si="9"/>
        <v>Detailed input</v>
      </c>
      <c r="AU8" s="31" t="s">
        <v>116</v>
      </c>
      <c r="AV8" s="3">
        <f t="shared" si="10"/>
        <v>7133</v>
      </c>
      <c r="AW8" s="3">
        <f t="shared" si="11"/>
        <v>7846.3</v>
      </c>
      <c r="AX8" s="3">
        <f t="shared" si="12"/>
        <v>8690</v>
      </c>
      <c r="AY8" s="3">
        <f t="shared" si="13"/>
        <v>7846.3</v>
      </c>
      <c r="AZ8" s="3">
        <f t="shared" si="14"/>
        <v>843.69999999999982</v>
      </c>
      <c r="BA8" s="32">
        <f t="shared" si="15"/>
        <v>0.10752838917706432</v>
      </c>
      <c r="BB8" s="2" t="str">
        <f t="shared" si="16"/>
        <v>Detailed</v>
      </c>
    </row>
    <row r="9" spans="1:54" ht="27.6">
      <c r="A9" s="13" t="s">
        <v>155</v>
      </c>
      <c r="B9" s="13" t="s">
        <v>205</v>
      </c>
      <c r="C9" s="14" t="str">
        <f>IFERROR(VLOOKUP($B9,'Cost Library'!$A$2:$M$159,2,FALSE),"")</f>
        <v>Interior Finishes</v>
      </c>
      <c r="D9" s="14" t="str">
        <f>IFERROR(VLOOKUP($B9,'Cost Library'!$A$2:$M$159,3,FALSE),"")</f>
        <v>Painting</v>
      </c>
      <c r="E9" s="13" t="s">
        <v>157</v>
      </c>
      <c r="F9" s="13" t="s">
        <v>206</v>
      </c>
      <c r="G9" s="13" t="str">
        <f>IFERROR(VLOOKUP($B9,'Cost Library'!$A$2:$M$159,5,FALSE),"")</f>
        <v>Renovation</v>
      </c>
      <c r="H9" s="13" t="s">
        <v>207</v>
      </c>
      <c r="I9" s="13" t="s">
        <v>115</v>
      </c>
      <c r="J9" s="13" t="s">
        <v>161</v>
      </c>
      <c r="K9" s="13" t="s">
        <v>15</v>
      </c>
      <c r="L9" s="13">
        <v>1500</v>
      </c>
      <c r="M9" s="14" t="str">
        <f>IFERROR(VLOOKUP($B9,'Cost Library'!$A$2:$M$159,6,FALSE),"")</f>
        <v>sf</v>
      </c>
      <c r="N9" s="15">
        <f>IFERROR(VLOOKUP($B9,'Cost Library'!$A$2:$M$159,7,FALSE),0)</f>
        <v>1.5</v>
      </c>
      <c r="O9" s="15">
        <f>IFERROR(VLOOKUP($B9,'Cost Library'!$A$2:$M$159,8,FALSE),0)</f>
        <v>3</v>
      </c>
      <c r="P9" s="15">
        <f>IFERROR(VLOOKUP($B9,'Cost Library'!$A$2:$M$159,9,FALSE),0)</f>
        <v>5</v>
      </c>
      <c r="Q9" s="16"/>
      <c r="R9" s="16" t="s">
        <v>182</v>
      </c>
      <c r="S9" s="17">
        <f t="shared" si="0"/>
        <v>4600</v>
      </c>
      <c r="T9" s="18">
        <f>'Project Inputs'!$C$15</f>
        <v>0.1</v>
      </c>
      <c r="U9" s="17">
        <f t="shared" si="1"/>
        <v>5060</v>
      </c>
      <c r="V9" s="11" t="s">
        <v>208</v>
      </c>
      <c r="W9" s="14" t="str">
        <f>IFERROR(VLOOKUP($B9,'Cost Library'!$A$2:$M$159,10,FALSE),"")</f>
        <v>No</v>
      </c>
      <c r="X9" s="11">
        <v>5</v>
      </c>
      <c r="Y9" s="11">
        <v>8000</v>
      </c>
      <c r="Z9" s="11">
        <v>4</v>
      </c>
      <c r="AA9" s="11" t="s">
        <v>209</v>
      </c>
      <c r="AB9" s="11" t="s">
        <v>210</v>
      </c>
      <c r="AC9" s="11" t="s">
        <v>211</v>
      </c>
      <c r="AD9" s="30">
        <v>35</v>
      </c>
      <c r="AE9" s="31">
        <v>45</v>
      </c>
      <c r="AF9" s="3">
        <f t="shared" si="2"/>
        <v>1575</v>
      </c>
      <c r="AG9" s="31">
        <v>45</v>
      </c>
      <c r="AH9" s="31">
        <v>60</v>
      </c>
      <c r="AI9" s="3">
        <f t="shared" si="3"/>
        <v>2700</v>
      </c>
      <c r="AJ9" s="31">
        <v>200</v>
      </c>
      <c r="AK9" s="31">
        <v>125</v>
      </c>
      <c r="AL9" s="3">
        <f t="shared" si="4"/>
        <v>4600</v>
      </c>
      <c r="AM9" s="3">
        <f>IF($A9&lt;&gt;"Yes",0,IF($R9="Detailed Breakdown",$AF9,$S9*IFERROR(VLOOKUP($B9,'Cost Library'!$A$2:$Q$159,14,FALSE),0.4)))</f>
        <v>1575</v>
      </c>
      <c r="AN9" s="3">
        <f>IF($A9&lt;&gt;"Yes",0,IF($R9="Detailed Breakdown",$AI9,$S9*IFERROR(VLOOKUP($B9,'Cost Library'!$A$2:$Q$159,15,FALSE),0.5)))</f>
        <v>2700</v>
      </c>
      <c r="AO9" s="3">
        <f>IF($A9&lt;&gt;"Yes",0,IF($R9="Detailed Breakdown",$AJ9+$AK9,$S9*IFERROR(VLOOKUP($B9,'Cost Library'!$A$2:$Q$159,16,FALSE),0.1)))</f>
        <v>325</v>
      </c>
      <c r="AP9" s="3">
        <f t="shared" si="5"/>
        <v>460</v>
      </c>
      <c r="AQ9" s="32">
        <f t="shared" si="6"/>
        <v>0.34239130434782611</v>
      </c>
      <c r="AR9" s="32">
        <f t="shared" si="7"/>
        <v>0.58695652173913049</v>
      </c>
      <c r="AS9" s="32">
        <f t="shared" si="8"/>
        <v>7.0652173913043473E-2</v>
      </c>
      <c r="AT9" s="2" t="str">
        <f t="shared" si="9"/>
        <v>Detailed input</v>
      </c>
      <c r="AU9" s="31" t="s">
        <v>116</v>
      </c>
      <c r="AV9" s="3">
        <f t="shared" si="10"/>
        <v>4500</v>
      </c>
      <c r="AW9" s="3">
        <f t="shared" si="11"/>
        <v>4950</v>
      </c>
      <c r="AX9" s="3">
        <f t="shared" si="12"/>
        <v>5060</v>
      </c>
      <c r="AY9" s="3">
        <f t="shared" si="13"/>
        <v>4950</v>
      </c>
      <c r="AZ9" s="3">
        <f t="shared" si="14"/>
        <v>110</v>
      </c>
      <c r="BA9" s="32">
        <f t="shared" si="15"/>
        <v>2.2222222222222223E-2</v>
      </c>
      <c r="BB9" s="2" t="str">
        <f t="shared" si="16"/>
        <v>Detailed</v>
      </c>
    </row>
    <row r="10" spans="1:54" ht="27.6">
      <c r="A10" s="13" t="s">
        <v>155</v>
      </c>
      <c r="B10" s="13" t="s">
        <v>212</v>
      </c>
      <c r="C10" s="14" t="str">
        <f>IFERROR(VLOOKUP($B10,'Cost Library'!$A$2:$M$159,2,FALSE),"")</f>
        <v>Flooring</v>
      </c>
      <c r="D10" s="14" t="str">
        <f>IFERROR(VLOOKUP($B10,'Cost Library'!$A$2:$M$159,3,FALSE),"")</f>
        <v>Flooring</v>
      </c>
      <c r="E10" s="13" t="s">
        <v>213</v>
      </c>
      <c r="F10" s="13" t="s">
        <v>214</v>
      </c>
      <c r="G10" s="13" t="str">
        <f>IFERROR(VLOOKUP($B10,'Cost Library'!$A$2:$M$159,5,FALSE),"")</f>
        <v>Renovation</v>
      </c>
      <c r="H10" s="13" t="s">
        <v>207</v>
      </c>
      <c r="I10" s="13" t="s">
        <v>115</v>
      </c>
      <c r="J10" s="13" t="s">
        <v>161</v>
      </c>
      <c r="K10" s="13" t="s">
        <v>15</v>
      </c>
      <c r="L10" s="13">
        <v>1200</v>
      </c>
      <c r="M10" s="14" t="str">
        <f>IFERROR(VLOOKUP($B10,'Cost Library'!$A$2:$M$159,6,FALSE),"")</f>
        <v>sf</v>
      </c>
      <c r="N10" s="15">
        <f>IFERROR(VLOOKUP($B10,'Cost Library'!$A$2:$M$159,7,FALSE),0)</f>
        <v>3</v>
      </c>
      <c r="O10" s="15">
        <f>IFERROR(VLOOKUP($B10,'Cost Library'!$A$2:$M$159,8,FALSE),0)</f>
        <v>6</v>
      </c>
      <c r="P10" s="15">
        <f>IFERROR(VLOOKUP($B10,'Cost Library'!$A$2:$M$159,9,FALSE),0)</f>
        <v>10</v>
      </c>
      <c r="Q10" s="16"/>
      <c r="R10" s="16" t="s">
        <v>182</v>
      </c>
      <c r="S10" s="17">
        <f t="shared" si="0"/>
        <v>7600</v>
      </c>
      <c r="T10" s="18">
        <f>'Project Inputs'!$C$15</f>
        <v>0.1</v>
      </c>
      <c r="U10" s="17">
        <f t="shared" si="1"/>
        <v>8360</v>
      </c>
      <c r="V10" s="11" t="s">
        <v>208</v>
      </c>
      <c r="W10" s="14" t="str">
        <f>IFERROR(VLOOKUP($B10,'Cost Library'!$A$2:$M$159,10,FALSE),"")</f>
        <v>No</v>
      </c>
      <c r="X10" s="11">
        <v>4</v>
      </c>
      <c r="Y10" s="11">
        <v>10000</v>
      </c>
      <c r="Z10" s="11">
        <v>5</v>
      </c>
      <c r="AA10" s="11" t="s">
        <v>215</v>
      </c>
      <c r="AB10" s="11" t="s">
        <v>216</v>
      </c>
      <c r="AC10" s="11" t="s">
        <v>217</v>
      </c>
      <c r="AD10" s="30">
        <v>1320</v>
      </c>
      <c r="AE10" s="31">
        <v>2.95</v>
      </c>
      <c r="AF10" s="3">
        <f t="shared" si="2"/>
        <v>3894.0000000000005</v>
      </c>
      <c r="AG10" s="31">
        <v>1200</v>
      </c>
      <c r="AH10" s="31">
        <v>2.4</v>
      </c>
      <c r="AI10" s="3">
        <f t="shared" si="3"/>
        <v>2880</v>
      </c>
      <c r="AJ10" s="31">
        <v>600</v>
      </c>
      <c r="AK10" s="31">
        <v>226</v>
      </c>
      <c r="AL10" s="3">
        <f t="shared" si="4"/>
        <v>7600</v>
      </c>
      <c r="AM10" s="3">
        <f>IF($A10&lt;&gt;"Yes",0,IF($R10="Detailed Breakdown",$AF10,$S10*IFERROR(VLOOKUP($B10,'Cost Library'!$A$2:$Q$159,14,FALSE),0.4)))</f>
        <v>3894.0000000000005</v>
      </c>
      <c r="AN10" s="3">
        <f>IF($A10&lt;&gt;"Yes",0,IF($R10="Detailed Breakdown",$AI10,$S10*IFERROR(VLOOKUP($B10,'Cost Library'!$A$2:$Q$159,15,FALSE),0.5)))</f>
        <v>2880</v>
      </c>
      <c r="AO10" s="3">
        <f>IF($A10&lt;&gt;"Yes",0,IF($R10="Detailed Breakdown",$AJ10+$AK10,$S10*IFERROR(VLOOKUP($B10,'Cost Library'!$A$2:$Q$159,16,FALSE),0.1)))</f>
        <v>826</v>
      </c>
      <c r="AP10" s="3">
        <f t="shared" si="5"/>
        <v>760</v>
      </c>
      <c r="AQ10" s="32">
        <f t="shared" si="6"/>
        <v>0.51236842105263158</v>
      </c>
      <c r="AR10" s="32">
        <f t="shared" si="7"/>
        <v>0.37894736842105264</v>
      </c>
      <c r="AS10" s="32">
        <f t="shared" si="8"/>
        <v>0.10868421052631579</v>
      </c>
      <c r="AT10" s="2" t="str">
        <f t="shared" si="9"/>
        <v>Detailed input</v>
      </c>
      <c r="AU10" s="31" t="s">
        <v>116</v>
      </c>
      <c r="AV10" s="3">
        <f t="shared" si="10"/>
        <v>7200</v>
      </c>
      <c r="AW10" s="3">
        <f t="shared" si="11"/>
        <v>7920.0000000000009</v>
      </c>
      <c r="AX10" s="3">
        <f t="shared" si="12"/>
        <v>8360</v>
      </c>
      <c r="AY10" s="3">
        <f t="shared" si="13"/>
        <v>7920.0000000000009</v>
      </c>
      <c r="AZ10" s="3">
        <f t="shared" si="14"/>
        <v>439.99999999999909</v>
      </c>
      <c r="BA10" s="32">
        <f t="shared" si="15"/>
        <v>5.5555555555555435E-2</v>
      </c>
      <c r="BB10" s="2" t="str">
        <f t="shared" si="16"/>
        <v>Detailed</v>
      </c>
    </row>
    <row r="11" spans="1:54" ht="27.6">
      <c r="A11" s="13" t="s">
        <v>155</v>
      </c>
      <c r="B11" s="13" t="s">
        <v>218</v>
      </c>
      <c r="C11" s="14" t="str">
        <f>IFERROR(VLOOKUP($B11,'Cost Library'!$A$2:$M$159,2,FALSE),"")</f>
        <v>Kitchen</v>
      </c>
      <c r="D11" s="14" t="str">
        <f>IFERROR(VLOOKUP($B11,'Cost Library'!$A$2:$M$159,3,FALSE),"")</f>
        <v>General Contractor</v>
      </c>
      <c r="E11" s="13" t="s">
        <v>38</v>
      </c>
      <c r="F11" s="13" t="s">
        <v>219</v>
      </c>
      <c r="G11" s="13" t="str">
        <f>IFERROR(VLOOKUP($B11,'Cost Library'!$A$2:$M$159,5,FALSE),"")</f>
        <v>Renovation</v>
      </c>
      <c r="H11" s="13" t="s">
        <v>207</v>
      </c>
      <c r="I11" s="13" t="s">
        <v>160</v>
      </c>
      <c r="J11" s="13" t="s">
        <v>161</v>
      </c>
      <c r="K11" s="13" t="s">
        <v>15</v>
      </c>
      <c r="L11" s="13">
        <v>1</v>
      </c>
      <c r="M11" s="14" t="str">
        <f>IFERROR(VLOOKUP($B11,'Cost Library'!$A$2:$M$159,6,FALSE),"")</f>
        <v>project</v>
      </c>
      <c r="N11" s="15">
        <f>IFERROR(VLOOKUP($B11,'Cost Library'!$A$2:$M$159,7,FALSE),0)</f>
        <v>13800</v>
      </c>
      <c r="O11" s="15">
        <f>IFERROR(VLOOKUP($B11,'Cost Library'!$A$2:$M$159,8,FALSE),0)</f>
        <v>26000</v>
      </c>
      <c r="P11" s="15">
        <f>IFERROR(VLOOKUP($B11,'Cost Library'!$A$2:$M$159,9,FALSE),0)</f>
        <v>38600</v>
      </c>
      <c r="Q11" s="16"/>
      <c r="R11" s="16" t="s">
        <v>182</v>
      </c>
      <c r="S11" s="17">
        <f t="shared" si="0"/>
        <v>24500</v>
      </c>
      <c r="T11" s="18">
        <f>'Project Inputs'!$C$15</f>
        <v>0.1</v>
      </c>
      <c r="U11" s="17">
        <f t="shared" si="1"/>
        <v>26950.000000000004</v>
      </c>
      <c r="V11" s="11" t="s">
        <v>208</v>
      </c>
      <c r="W11" s="14" t="str">
        <f>IFERROR(VLOOKUP($B11,'Cost Library'!$A$2:$M$159,10,FALSE),"")</f>
        <v>Sometimes</v>
      </c>
      <c r="X11" s="11">
        <v>14</v>
      </c>
      <c r="Y11" s="11">
        <v>25000</v>
      </c>
      <c r="Z11" s="11">
        <v>5</v>
      </c>
      <c r="AA11" s="11" t="s">
        <v>220</v>
      </c>
      <c r="AB11" s="11" t="s">
        <v>221</v>
      </c>
      <c r="AC11" s="11" t="s">
        <v>222</v>
      </c>
      <c r="AD11" s="30">
        <v>1</v>
      </c>
      <c r="AE11" s="31">
        <v>14000</v>
      </c>
      <c r="AF11" s="3">
        <f t="shared" si="2"/>
        <v>14000</v>
      </c>
      <c r="AG11" s="31">
        <v>1</v>
      </c>
      <c r="AH11" s="31">
        <v>8000</v>
      </c>
      <c r="AI11" s="3">
        <f t="shared" si="3"/>
        <v>8000</v>
      </c>
      <c r="AJ11" s="31">
        <v>1200</v>
      </c>
      <c r="AK11" s="31">
        <v>1300</v>
      </c>
      <c r="AL11" s="3">
        <f t="shared" si="4"/>
        <v>24500</v>
      </c>
      <c r="AM11" s="3">
        <f>IF($A11&lt;&gt;"Yes",0,IF($R11="Detailed Breakdown",$AF11,$S11*IFERROR(VLOOKUP($B11,'Cost Library'!$A$2:$Q$159,14,FALSE),0.4)))</f>
        <v>14000</v>
      </c>
      <c r="AN11" s="3">
        <f>IF($A11&lt;&gt;"Yes",0,IF($R11="Detailed Breakdown",$AI11,$S11*IFERROR(VLOOKUP($B11,'Cost Library'!$A$2:$Q$159,15,FALSE),0.5)))</f>
        <v>8000</v>
      </c>
      <c r="AO11" s="3">
        <f>IF($A11&lt;&gt;"Yes",0,IF($R11="Detailed Breakdown",$AJ11+$AK11,$S11*IFERROR(VLOOKUP($B11,'Cost Library'!$A$2:$Q$159,16,FALSE),0.1)))</f>
        <v>2500</v>
      </c>
      <c r="AP11" s="3">
        <f t="shared" si="5"/>
        <v>2450.0000000000036</v>
      </c>
      <c r="AQ11" s="32">
        <f t="shared" si="6"/>
        <v>0.5714285714285714</v>
      </c>
      <c r="AR11" s="32">
        <f t="shared" si="7"/>
        <v>0.32653061224489793</v>
      </c>
      <c r="AS11" s="32">
        <f t="shared" si="8"/>
        <v>0.10204081632653061</v>
      </c>
      <c r="AT11" s="2" t="str">
        <f t="shared" si="9"/>
        <v>Detailed input</v>
      </c>
      <c r="AU11" s="31" t="s">
        <v>116</v>
      </c>
      <c r="AV11" s="3">
        <f t="shared" si="10"/>
        <v>26000</v>
      </c>
      <c r="AW11" s="3">
        <f t="shared" si="11"/>
        <v>28600.000000000004</v>
      </c>
      <c r="AX11" s="3">
        <f t="shared" si="12"/>
        <v>26950.000000000004</v>
      </c>
      <c r="AY11" s="3">
        <f t="shared" si="13"/>
        <v>28600.000000000004</v>
      </c>
      <c r="AZ11" s="3">
        <f t="shared" si="14"/>
        <v>-1650</v>
      </c>
      <c r="BA11" s="32">
        <f t="shared" si="15"/>
        <v>-5.7692307692307682E-2</v>
      </c>
      <c r="BB11" s="2" t="str">
        <f t="shared" si="16"/>
        <v>Detailed</v>
      </c>
    </row>
    <row r="12" spans="1:54" ht="27.6">
      <c r="A12" s="13" t="s">
        <v>155</v>
      </c>
      <c r="B12" s="13" t="s">
        <v>223</v>
      </c>
      <c r="C12" s="14" t="str">
        <f>IFERROR(VLOOKUP($B12,'Cost Library'!$A$2:$M$159,2,FALSE),"")</f>
        <v>Bathrooms</v>
      </c>
      <c r="D12" s="14" t="str">
        <f>IFERROR(VLOOKUP($B12,'Cost Library'!$A$2:$M$159,3,FALSE),"")</f>
        <v>General Contractor</v>
      </c>
      <c r="E12" s="13" t="s">
        <v>224</v>
      </c>
      <c r="F12" s="13" t="s">
        <v>225</v>
      </c>
      <c r="G12" s="13" t="str">
        <f>IFERROR(VLOOKUP($B12,'Cost Library'!$A$2:$M$159,5,FALSE),"")</f>
        <v>Renovation</v>
      </c>
      <c r="H12" s="13" t="s">
        <v>207</v>
      </c>
      <c r="I12" s="13" t="s">
        <v>160</v>
      </c>
      <c r="J12" s="13" t="s">
        <v>161</v>
      </c>
      <c r="K12" s="13" t="s">
        <v>15</v>
      </c>
      <c r="L12" s="13">
        <v>1</v>
      </c>
      <c r="M12" s="14" t="str">
        <f>IFERROR(VLOOKUP($B12,'Cost Library'!$A$2:$M$159,6,FALSE),"")</f>
        <v>bath</v>
      </c>
      <c r="N12" s="15">
        <f>IFERROR(VLOOKUP($B12,'Cost Library'!$A$2:$M$159,7,FALSE),0)</f>
        <v>6423</v>
      </c>
      <c r="O12" s="15">
        <f>IFERROR(VLOOKUP($B12,'Cost Library'!$A$2:$M$159,8,FALSE),0)</f>
        <v>11246</v>
      </c>
      <c r="P12" s="15">
        <f>IFERROR(VLOOKUP($B12,'Cost Library'!$A$2:$M$159,9,FALSE),0)</f>
        <v>16519</v>
      </c>
      <c r="Q12" s="16"/>
      <c r="R12" s="16" t="s">
        <v>182</v>
      </c>
      <c r="S12" s="17">
        <f t="shared" si="0"/>
        <v>12700</v>
      </c>
      <c r="T12" s="18">
        <f>'Project Inputs'!$C$15</f>
        <v>0.1</v>
      </c>
      <c r="U12" s="17">
        <f t="shared" si="1"/>
        <v>13970.000000000002</v>
      </c>
      <c r="V12" s="11" t="s">
        <v>208</v>
      </c>
      <c r="W12" s="14" t="str">
        <f>IFERROR(VLOOKUP($B12,'Cost Library'!$A$2:$M$159,10,FALSE),"")</f>
        <v>Sometimes</v>
      </c>
      <c r="X12" s="11">
        <v>8</v>
      </c>
      <c r="Y12" s="11">
        <v>15000</v>
      </c>
      <c r="Z12" s="11">
        <v>5</v>
      </c>
      <c r="AA12" s="11" t="s">
        <v>226</v>
      </c>
      <c r="AB12" s="11" t="s">
        <v>227</v>
      </c>
      <c r="AC12" s="11" t="s">
        <v>228</v>
      </c>
      <c r="AD12" s="30">
        <v>1</v>
      </c>
      <c r="AE12" s="31">
        <v>6800</v>
      </c>
      <c r="AF12" s="3">
        <f t="shared" si="2"/>
        <v>6800</v>
      </c>
      <c r="AG12" s="31">
        <v>1</v>
      </c>
      <c r="AH12" s="31">
        <v>4600</v>
      </c>
      <c r="AI12" s="3">
        <f t="shared" si="3"/>
        <v>4600</v>
      </c>
      <c r="AJ12" s="31">
        <v>700</v>
      </c>
      <c r="AK12" s="31">
        <v>600</v>
      </c>
      <c r="AL12" s="3">
        <f t="shared" si="4"/>
        <v>12700</v>
      </c>
      <c r="AM12" s="3">
        <f>IF($A12&lt;&gt;"Yes",0,IF($R12="Detailed Breakdown",$AF12,$S12*IFERROR(VLOOKUP($B12,'Cost Library'!$A$2:$Q$159,14,FALSE),0.4)))</f>
        <v>6800</v>
      </c>
      <c r="AN12" s="3">
        <f>IF($A12&lt;&gt;"Yes",0,IF($R12="Detailed Breakdown",$AI12,$S12*IFERROR(VLOOKUP($B12,'Cost Library'!$A$2:$Q$159,15,FALSE),0.5)))</f>
        <v>4600</v>
      </c>
      <c r="AO12" s="3">
        <f>IF($A12&lt;&gt;"Yes",0,IF($R12="Detailed Breakdown",$AJ12+$AK12,$S12*IFERROR(VLOOKUP($B12,'Cost Library'!$A$2:$Q$159,16,FALSE),0.1)))</f>
        <v>1300</v>
      </c>
      <c r="AP12" s="3">
        <f t="shared" si="5"/>
        <v>1270.0000000000018</v>
      </c>
      <c r="AQ12" s="32">
        <f t="shared" si="6"/>
        <v>0.53543307086614178</v>
      </c>
      <c r="AR12" s="32">
        <f t="shared" si="7"/>
        <v>0.36220472440944884</v>
      </c>
      <c r="AS12" s="32">
        <f t="shared" si="8"/>
        <v>0.10236220472440945</v>
      </c>
      <c r="AT12" s="2" t="str">
        <f t="shared" si="9"/>
        <v>Detailed input</v>
      </c>
      <c r="AU12" s="31" t="s">
        <v>116</v>
      </c>
      <c r="AV12" s="3">
        <f t="shared" si="10"/>
        <v>11246</v>
      </c>
      <c r="AW12" s="3">
        <f t="shared" si="11"/>
        <v>12370.6</v>
      </c>
      <c r="AX12" s="3">
        <f t="shared" si="12"/>
        <v>13970.000000000002</v>
      </c>
      <c r="AY12" s="3">
        <f t="shared" si="13"/>
        <v>12370.6</v>
      </c>
      <c r="AZ12" s="3">
        <f t="shared" si="14"/>
        <v>1599.4000000000015</v>
      </c>
      <c r="BA12" s="32">
        <f t="shared" si="15"/>
        <v>0.12929041436955374</v>
      </c>
      <c r="BB12" s="2" t="str">
        <f t="shared" si="16"/>
        <v>Detailed</v>
      </c>
    </row>
    <row r="13" spans="1:54" ht="14.4">
      <c r="A13" s="13" t="s">
        <v>155</v>
      </c>
      <c r="B13" s="13" t="s">
        <v>229</v>
      </c>
      <c r="C13" s="14" t="str">
        <f>IFERROR(VLOOKUP($B13,'Cost Library'!$A$2:$M$159,2,FALSE),"")</f>
        <v>Appliances &amp; Curb Appeal</v>
      </c>
      <c r="D13" s="14" t="str">
        <f>IFERROR(VLOOKUP($B13,'Cost Library'!$A$2:$M$159,3,FALSE),"")</f>
        <v>Painting</v>
      </c>
      <c r="E13" s="13" t="s">
        <v>230</v>
      </c>
      <c r="F13" s="13" t="s">
        <v>231</v>
      </c>
      <c r="G13" s="13" t="str">
        <f>IFERROR(VLOOKUP($B13,'Cost Library'!$A$2:$M$159,5,FALSE),"")</f>
        <v>Renovation</v>
      </c>
      <c r="H13" s="13" t="s">
        <v>207</v>
      </c>
      <c r="I13" s="13" t="s">
        <v>115</v>
      </c>
      <c r="J13" s="13" t="s">
        <v>161</v>
      </c>
      <c r="K13" s="13" t="s">
        <v>15</v>
      </c>
      <c r="L13" s="13">
        <v>1</v>
      </c>
      <c r="M13" s="14" t="str">
        <f>IFERROR(VLOOKUP($B13,'Cost Library'!$A$2:$M$159,6,FALSE),"")</f>
        <v>each</v>
      </c>
      <c r="N13" s="15">
        <f>IFERROR(VLOOKUP($B13,'Cost Library'!$A$2:$M$159,7,FALSE),0)</f>
        <v>200</v>
      </c>
      <c r="O13" s="15">
        <f>IFERROR(VLOOKUP($B13,'Cost Library'!$A$2:$M$159,8,FALSE),0)</f>
        <v>400</v>
      </c>
      <c r="P13" s="15">
        <f>IFERROR(VLOOKUP($B13,'Cost Library'!$A$2:$M$159,9,FALSE),0)</f>
        <v>700</v>
      </c>
      <c r="Q13" s="16"/>
      <c r="R13" s="16" t="s">
        <v>182</v>
      </c>
      <c r="S13" s="17">
        <f t="shared" si="0"/>
        <v>450</v>
      </c>
      <c r="T13" s="18">
        <f>'Project Inputs'!$C$15</f>
        <v>0.1</v>
      </c>
      <c r="U13" s="17">
        <f t="shared" si="1"/>
        <v>495.00000000000006</v>
      </c>
      <c r="V13" s="11" t="s">
        <v>208</v>
      </c>
      <c r="W13" s="14" t="str">
        <f>IFERROR(VLOOKUP($B13,'Cost Library'!$A$2:$M$159,10,FALSE),"")</f>
        <v>No</v>
      </c>
      <c r="X13" s="11">
        <v>1</v>
      </c>
      <c r="Y13" s="11">
        <v>1500</v>
      </c>
      <c r="Z13" s="11">
        <v>3</v>
      </c>
      <c r="AA13" s="11" t="s">
        <v>232</v>
      </c>
      <c r="AB13" s="11" t="s">
        <v>233</v>
      </c>
      <c r="AC13" s="11" t="s">
        <v>234</v>
      </c>
      <c r="AD13" s="30">
        <v>1</v>
      </c>
      <c r="AE13" s="31">
        <v>150</v>
      </c>
      <c r="AF13" s="3">
        <f t="shared" si="2"/>
        <v>150</v>
      </c>
      <c r="AG13" s="31">
        <v>1</v>
      </c>
      <c r="AH13" s="31">
        <v>250</v>
      </c>
      <c r="AI13" s="3">
        <f t="shared" si="3"/>
        <v>250</v>
      </c>
      <c r="AJ13" s="31">
        <v>0</v>
      </c>
      <c r="AK13" s="31">
        <v>50</v>
      </c>
      <c r="AL13" s="3">
        <f t="shared" si="4"/>
        <v>450</v>
      </c>
      <c r="AM13" s="3">
        <f>IF($A13&lt;&gt;"Yes",0,IF($R13="Detailed Breakdown",$AF13,$S13*IFERROR(VLOOKUP($B13,'Cost Library'!$A$2:$Q$159,14,FALSE),0.4)))</f>
        <v>150</v>
      </c>
      <c r="AN13" s="3">
        <f>IF($A13&lt;&gt;"Yes",0,IF($R13="Detailed Breakdown",$AI13,$S13*IFERROR(VLOOKUP($B13,'Cost Library'!$A$2:$Q$159,15,FALSE),0.5)))</f>
        <v>250</v>
      </c>
      <c r="AO13" s="3">
        <f>IF($A13&lt;&gt;"Yes",0,IF($R13="Detailed Breakdown",$AJ13+$AK13,$S13*IFERROR(VLOOKUP($B13,'Cost Library'!$A$2:$Q$159,16,FALSE),0.1)))</f>
        <v>50</v>
      </c>
      <c r="AP13" s="3">
        <f t="shared" si="5"/>
        <v>45.000000000000057</v>
      </c>
      <c r="AQ13" s="32">
        <f t="shared" si="6"/>
        <v>0.33333333333333331</v>
      </c>
      <c r="AR13" s="32">
        <f t="shared" si="7"/>
        <v>0.55555555555555558</v>
      </c>
      <c r="AS13" s="32">
        <f t="shared" si="8"/>
        <v>0.1111111111111111</v>
      </c>
      <c r="AT13" s="2" t="str">
        <f t="shared" si="9"/>
        <v>Detailed input</v>
      </c>
      <c r="AU13" s="31" t="s">
        <v>116</v>
      </c>
      <c r="AV13" s="3">
        <f t="shared" si="10"/>
        <v>400</v>
      </c>
      <c r="AW13" s="3">
        <f t="shared" si="11"/>
        <v>440.00000000000006</v>
      </c>
      <c r="AX13" s="3">
        <f t="shared" si="12"/>
        <v>495.00000000000006</v>
      </c>
      <c r="AY13" s="3">
        <f t="shared" si="13"/>
        <v>440.00000000000006</v>
      </c>
      <c r="AZ13" s="3">
        <f t="shared" si="14"/>
        <v>55</v>
      </c>
      <c r="BA13" s="32">
        <f t="shared" si="15"/>
        <v>0.12499999999999999</v>
      </c>
      <c r="BB13" s="2" t="str">
        <f t="shared" si="16"/>
        <v>Detailed</v>
      </c>
    </row>
    <row r="14" spans="1:54" ht="14.4">
      <c r="A14" s="13" t="s">
        <v>155</v>
      </c>
      <c r="B14" s="13" t="s">
        <v>235</v>
      </c>
      <c r="C14" s="14" t="str">
        <f>IFERROR(VLOOKUP($B14,'Cost Library'!$A$2:$M$159,2,FALSE),"")</f>
        <v>Windows, Doors &amp; Garage</v>
      </c>
      <c r="D14" s="14" t="str">
        <f>IFERROR(VLOOKUP($B14,'Cost Library'!$A$2:$M$159,3,FALSE),"")</f>
        <v>Window</v>
      </c>
      <c r="E14" s="13" t="s">
        <v>236</v>
      </c>
      <c r="F14" s="13" t="s">
        <v>237</v>
      </c>
      <c r="G14" s="13" t="str">
        <f>IFERROR(VLOOKUP($B14,'Cost Library'!$A$2:$M$159,5,FALSE),"")</f>
        <v>Replace</v>
      </c>
      <c r="H14" s="13" t="s">
        <v>159</v>
      </c>
      <c r="I14" s="13" t="s">
        <v>160</v>
      </c>
      <c r="J14" s="13" t="s">
        <v>161</v>
      </c>
      <c r="K14" s="13" t="s">
        <v>13</v>
      </c>
      <c r="L14" s="13">
        <v>6</v>
      </c>
      <c r="M14" s="14" t="str">
        <f>IFERROR(VLOOKUP($B14,'Cost Library'!$A$2:$M$159,6,FALSE),"")</f>
        <v>each</v>
      </c>
      <c r="N14" s="15">
        <f>IFERROR(VLOOKUP($B14,'Cost Library'!$A$2:$M$159,7,FALSE),0)</f>
        <v>400</v>
      </c>
      <c r="O14" s="15">
        <f>IFERROR(VLOOKUP($B14,'Cost Library'!$A$2:$M$159,8,FALSE),0)</f>
        <v>750</v>
      </c>
      <c r="P14" s="15">
        <f>IFERROR(VLOOKUP($B14,'Cost Library'!$A$2:$M$159,9,FALSE),0)</f>
        <v>1200</v>
      </c>
      <c r="Q14" s="16"/>
      <c r="R14" s="16" t="s">
        <v>182</v>
      </c>
      <c r="S14" s="17">
        <f t="shared" si="0"/>
        <v>5400</v>
      </c>
      <c r="T14" s="18">
        <f>'Project Inputs'!$C$15</f>
        <v>0.1</v>
      </c>
      <c r="U14" s="17">
        <f t="shared" si="1"/>
        <v>5940.0000000000009</v>
      </c>
      <c r="V14" s="11" t="s">
        <v>183</v>
      </c>
      <c r="W14" s="14" t="str">
        <f>IFERROR(VLOOKUP($B14,'Cost Library'!$A$2:$M$159,10,FALSE),"")</f>
        <v>Sometimes</v>
      </c>
      <c r="X14" s="11">
        <v>3</v>
      </c>
      <c r="Y14" s="11">
        <v>6000</v>
      </c>
      <c r="Z14" s="11">
        <v>3</v>
      </c>
      <c r="AA14" s="11" t="s">
        <v>238</v>
      </c>
      <c r="AB14" s="11" t="s">
        <v>239</v>
      </c>
      <c r="AC14" s="11" t="s">
        <v>240</v>
      </c>
      <c r="AD14" s="30">
        <v>6</v>
      </c>
      <c r="AE14" s="31">
        <v>550</v>
      </c>
      <c r="AF14" s="3">
        <f t="shared" si="2"/>
        <v>3300</v>
      </c>
      <c r="AG14" s="31">
        <v>6</v>
      </c>
      <c r="AH14" s="31">
        <v>300</v>
      </c>
      <c r="AI14" s="3">
        <f t="shared" si="3"/>
        <v>1800</v>
      </c>
      <c r="AJ14" s="31">
        <v>200</v>
      </c>
      <c r="AK14" s="31">
        <v>100</v>
      </c>
      <c r="AL14" s="3">
        <f t="shared" si="4"/>
        <v>5400</v>
      </c>
      <c r="AM14" s="3">
        <f>IF($A14&lt;&gt;"Yes",0,IF($R14="Detailed Breakdown",$AF14,$S14*IFERROR(VLOOKUP($B14,'Cost Library'!$A$2:$Q$159,14,FALSE),0.4)))</f>
        <v>3300</v>
      </c>
      <c r="AN14" s="3">
        <f>IF($A14&lt;&gt;"Yes",0,IF($R14="Detailed Breakdown",$AI14,$S14*IFERROR(VLOOKUP($B14,'Cost Library'!$A$2:$Q$159,15,FALSE),0.5)))</f>
        <v>1800</v>
      </c>
      <c r="AO14" s="3">
        <f>IF($A14&lt;&gt;"Yes",0,IF($R14="Detailed Breakdown",$AJ14+$AK14,$S14*IFERROR(VLOOKUP($B14,'Cost Library'!$A$2:$Q$159,16,FALSE),0.1)))</f>
        <v>300</v>
      </c>
      <c r="AP14" s="3">
        <f t="shared" si="5"/>
        <v>540.00000000000091</v>
      </c>
      <c r="AQ14" s="32">
        <f t="shared" si="6"/>
        <v>0.61111111111111116</v>
      </c>
      <c r="AR14" s="32">
        <f t="shared" si="7"/>
        <v>0.33333333333333331</v>
      </c>
      <c r="AS14" s="32">
        <f t="shared" si="8"/>
        <v>5.5555555555555552E-2</v>
      </c>
      <c r="AT14" s="2" t="str">
        <f t="shared" si="9"/>
        <v>Detailed input</v>
      </c>
      <c r="AU14" s="31" t="s">
        <v>116</v>
      </c>
      <c r="AV14" s="3">
        <f t="shared" si="10"/>
        <v>4500</v>
      </c>
      <c r="AW14" s="3">
        <f t="shared" si="11"/>
        <v>4950</v>
      </c>
      <c r="AX14" s="3">
        <f t="shared" si="12"/>
        <v>5940.0000000000009</v>
      </c>
      <c r="AY14" s="3">
        <f t="shared" si="13"/>
        <v>4950</v>
      </c>
      <c r="AZ14" s="3">
        <f t="shared" si="14"/>
        <v>990.00000000000091</v>
      </c>
      <c r="BA14" s="32">
        <f t="shared" si="15"/>
        <v>0.20000000000000018</v>
      </c>
      <c r="BB14" s="2" t="str">
        <f t="shared" si="16"/>
        <v>Detailed</v>
      </c>
    </row>
    <row r="15" spans="1:54" ht="27.6">
      <c r="A15" s="13" t="s">
        <v>155</v>
      </c>
      <c r="B15" s="13" t="s">
        <v>241</v>
      </c>
      <c r="C15" s="14" t="str">
        <f>IFERROR(VLOOKUP($B15,'Cost Library'!$A$2:$M$159,2,FALSE),"")</f>
        <v>Exterior &amp; Site</v>
      </c>
      <c r="D15" s="14" t="str">
        <f>IFERROR(VLOOKUP($B15,'Cost Library'!$A$2:$M$159,3,FALSE),"")</f>
        <v>Landscaping</v>
      </c>
      <c r="E15" s="13" t="s">
        <v>242</v>
      </c>
      <c r="F15" s="13" t="s">
        <v>243</v>
      </c>
      <c r="G15" s="13" t="str">
        <f>IFERROR(VLOOKUP($B15,'Cost Library'!$A$2:$M$159,5,FALSE),"")</f>
        <v>Renovation</v>
      </c>
      <c r="H15" s="13" t="s">
        <v>207</v>
      </c>
      <c r="I15" s="13" t="s">
        <v>115</v>
      </c>
      <c r="J15" s="13" t="s">
        <v>161</v>
      </c>
      <c r="K15" s="13" t="s">
        <v>15</v>
      </c>
      <c r="L15" s="13">
        <v>1</v>
      </c>
      <c r="M15" s="14" t="str">
        <f>IFERROR(VLOOKUP($B15,'Cost Library'!$A$2:$M$159,6,FALSE),"")</f>
        <v>project</v>
      </c>
      <c r="N15" s="15">
        <f>IFERROR(VLOOKUP($B15,'Cost Library'!$A$2:$M$159,7,FALSE),0)</f>
        <v>500</v>
      </c>
      <c r="O15" s="15">
        <f>IFERROR(VLOOKUP($B15,'Cost Library'!$A$2:$M$159,8,FALSE),0)</f>
        <v>2000</v>
      </c>
      <c r="P15" s="15">
        <f>IFERROR(VLOOKUP($B15,'Cost Library'!$A$2:$M$159,9,FALSE),0)</f>
        <v>6000</v>
      </c>
      <c r="Q15" s="16"/>
      <c r="R15" s="16" t="s">
        <v>182</v>
      </c>
      <c r="S15" s="17">
        <f t="shared" si="0"/>
        <v>2300</v>
      </c>
      <c r="T15" s="18">
        <f>'Project Inputs'!$C$15</f>
        <v>0.1</v>
      </c>
      <c r="U15" s="17">
        <f t="shared" si="1"/>
        <v>2530</v>
      </c>
      <c r="V15" s="11" t="s">
        <v>208</v>
      </c>
      <c r="W15" s="14" t="str">
        <f>IFERROR(VLOOKUP($B15,'Cost Library'!$A$2:$M$159,10,FALSE),"")</f>
        <v>No</v>
      </c>
      <c r="X15" s="11">
        <v>2</v>
      </c>
      <c r="Y15" s="11">
        <v>3000</v>
      </c>
      <c r="Z15" s="11">
        <v>4</v>
      </c>
      <c r="AA15" s="11" t="s">
        <v>244</v>
      </c>
      <c r="AB15" s="11" t="s">
        <v>245</v>
      </c>
      <c r="AC15" s="11" t="s">
        <v>246</v>
      </c>
      <c r="AD15" s="30">
        <v>1</v>
      </c>
      <c r="AE15" s="31">
        <v>1000</v>
      </c>
      <c r="AF15" s="3">
        <f t="shared" si="2"/>
        <v>1000</v>
      </c>
      <c r="AG15" s="31">
        <v>1</v>
      </c>
      <c r="AH15" s="31">
        <v>1000</v>
      </c>
      <c r="AI15" s="3">
        <f t="shared" si="3"/>
        <v>1000</v>
      </c>
      <c r="AJ15" s="31">
        <v>300</v>
      </c>
      <c r="AK15" s="31">
        <v>0</v>
      </c>
      <c r="AL15" s="3">
        <f t="shared" si="4"/>
        <v>2300</v>
      </c>
      <c r="AM15" s="3">
        <f>IF($A15&lt;&gt;"Yes",0,IF($R15="Detailed Breakdown",$AF15,$S15*IFERROR(VLOOKUP($B15,'Cost Library'!$A$2:$Q$159,14,FALSE),0.4)))</f>
        <v>1000</v>
      </c>
      <c r="AN15" s="3">
        <f>IF($A15&lt;&gt;"Yes",0,IF($R15="Detailed Breakdown",$AI15,$S15*IFERROR(VLOOKUP($B15,'Cost Library'!$A$2:$Q$159,15,FALSE),0.5)))</f>
        <v>1000</v>
      </c>
      <c r="AO15" s="3">
        <f>IF($A15&lt;&gt;"Yes",0,IF($R15="Detailed Breakdown",$AJ15+$AK15,$S15*IFERROR(VLOOKUP($B15,'Cost Library'!$A$2:$Q$159,16,FALSE),0.1)))</f>
        <v>300</v>
      </c>
      <c r="AP15" s="3">
        <f t="shared" si="5"/>
        <v>230</v>
      </c>
      <c r="AQ15" s="32">
        <f t="shared" si="6"/>
        <v>0.43478260869565216</v>
      </c>
      <c r="AR15" s="32">
        <f t="shared" si="7"/>
        <v>0.43478260869565216</v>
      </c>
      <c r="AS15" s="32">
        <f t="shared" si="8"/>
        <v>0.13043478260869565</v>
      </c>
      <c r="AT15" s="2" t="str">
        <f t="shared" si="9"/>
        <v>Detailed input</v>
      </c>
      <c r="AU15" s="31" t="s">
        <v>116</v>
      </c>
      <c r="AV15" s="3">
        <f t="shared" si="10"/>
        <v>2000</v>
      </c>
      <c r="AW15" s="3">
        <f t="shared" si="11"/>
        <v>2200</v>
      </c>
      <c r="AX15" s="3">
        <f t="shared" si="12"/>
        <v>2530</v>
      </c>
      <c r="AY15" s="3">
        <f t="shared" si="13"/>
        <v>2200</v>
      </c>
      <c r="AZ15" s="3">
        <f t="shared" si="14"/>
        <v>330</v>
      </c>
      <c r="BA15" s="32">
        <f t="shared" si="15"/>
        <v>0.15</v>
      </c>
      <c r="BB15" s="2" t="str">
        <f t="shared" si="16"/>
        <v>Detailed</v>
      </c>
    </row>
    <row r="16" spans="1:54" ht="14.4">
      <c r="A16" s="13" t="s">
        <v>161</v>
      </c>
      <c r="B16" s="13"/>
      <c r="C16" s="14" t="str">
        <f>IFERROR(VLOOKUP($B16,'Cost Library'!$A$2:$M$159,2,FALSE),"")</f>
        <v/>
      </c>
      <c r="D16" s="14" t="str">
        <f>IFERROR(VLOOKUP($B16,'Cost Library'!$A$2:$M$159,3,FALSE),"")</f>
        <v/>
      </c>
      <c r="E16" s="13"/>
      <c r="F16" s="13"/>
      <c r="G16" s="13" t="str">
        <f>IFERROR(VLOOKUP($B16,'Cost Library'!$A$2:$M$159,5,FALSE),"")</f>
        <v/>
      </c>
      <c r="H16" s="13"/>
      <c r="I16" s="13"/>
      <c r="J16" s="13"/>
      <c r="K16" s="13"/>
      <c r="L16" s="13">
        <v>1</v>
      </c>
      <c r="M16" s="14" t="str">
        <f>IFERROR(VLOOKUP($B16,'Cost Library'!$A$2:$M$159,6,FALSE),"")</f>
        <v/>
      </c>
      <c r="N16" s="15">
        <f>IFERROR(VLOOKUP($B16,'Cost Library'!$A$2:$M$159,7,FALSE),0)</f>
        <v>0</v>
      </c>
      <c r="O16" s="15">
        <f>IFERROR(VLOOKUP($B16,'Cost Library'!$A$2:$M$159,8,FALSE),0)</f>
        <v>0</v>
      </c>
      <c r="P16" s="15">
        <f>IFERROR(VLOOKUP($B16,'Cost Library'!$A$2:$M$159,9,FALSE),0)</f>
        <v>0</v>
      </c>
      <c r="Q16" s="16"/>
      <c r="R16" s="16" t="s">
        <v>116</v>
      </c>
      <c r="S16" s="17">
        <f t="shared" si="0"/>
        <v>0</v>
      </c>
      <c r="T16" s="18">
        <f>'Project Inputs'!$C$15</f>
        <v>0.1</v>
      </c>
      <c r="U16" s="17">
        <f t="shared" si="1"/>
        <v>0</v>
      </c>
      <c r="V16" s="11" t="s">
        <v>247</v>
      </c>
      <c r="W16" s="14" t="str">
        <f>IFERROR(VLOOKUP($B16,'Cost Library'!$A$2:$M$159,10,FALSE),"")</f>
        <v/>
      </c>
      <c r="X16" s="11"/>
      <c r="Y16" s="11"/>
      <c r="Z16" s="11"/>
      <c r="AA16" s="11"/>
      <c r="AB16" s="11"/>
      <c r="AC16" s="11"/>
      <c r="AD16" s="30"/>
      <c r="AE16" s="31"/>
      <c r="AF16" s="3">
        <f t="shared" si="2"/>
        <v>0</v>
      </c>
      <c r="AG16" s="31"/>
      <c r="AH16" s="31"/>
      <c r="AI16" s="3">
        <f t="shared" si="3"/>
        <v>0</v>
      </c>
      <c r="AJ16" s="31"/>
      <c r="AK16" s="31"/>
      <c r="AL16" s="3">
        <f t="shared" si="4"/>
        <v>0</v>
      </c>
      <c r="AM16" s="3">
        <f>IF($A16&lt;&gt;"Yes",0,IF($R16="Detailed Breakdown",$AF16,$S16*IFERROR(VLOOKUP($B16,'Cost Library'!$A$2:$Q$159,14,FALSE),0.4)))</f>
        <v>0</v>
      </c>
      <c r="AN16" s="3">
        <f>IF($A16&lt;&gt;"Yes",0,IF($R16="Detailed Breakdown",$AI16,$S16*IFERROR(VLOOKUP($B16,'Cost Library'!$A$2:$Q$159,15,FALSE),0.5)))</f>
        <v>0</v>
      </c>
      <c r="AO16" s="3">
        <f>IF($A16&lt;&gt;"Yes",0,IF($R16="Detailed Breakdown",$AJ16+$AK16,$S16*IFERROR(VLOOKUP($B16,'Cost Library'!$A$2:$Q$159,16,FALSE),0.1)))</f>
        <v>0</v>
      </c>
      <c r="AP16" s="3">
        <f t="shared" si="5"/>
        <v>0</v>
      </c>
      <c r="AQ16" s="32">
        <f t="shared" si="6"/>
        <v>0</v>
      </c>
      <c r="AR16" s="32">
        <f t="shared" si="7"/>
        <v>0</v>
      </c>
      <c r="AS16" s="32">
        <f t="shared" si="8"/>
        <v>0</v>
      </c>
      <c r="AT16" s="2" t="str">
        <f t="shared" si="9"/>
        <v/>
      </c>
      <c r="AU16" s="31" t="s">
        <v>116</v>
      </c>
      <c r="AV16" s="3">
        <f t="shared" si="10"/>
        <v>0</v>
      </c>
      <c r="AW16" s="3">
        <f t="shared" si="11"/>
        <v>0</v>
      </c>
      <c r="AX16" s="3">
        <f t="shared" si="12"/>
        <v>0</v>
      </c>
      <c r="AY16" s="3">
        <f t="shared" si="13"/>
        <v>0</v>
      </c>
      <c r="AZ16" s="3">
        <f t="shared" si="14"/>
        <v>0</v>
      </c>
      <c r="BA16" s="32">
        <f t="shared" si="15"/>
        <v>0</v>
      </c>
      <c r="BB16" s="2" t="str">
        <f t="shared" si="16"/>
        <v/>
      </c>
    </row>
    <row r="17" spans="1:54" ht="14.4">
      <c r="A17" s="13" t="s">
        <v>161</v>
      </c>
      <c r="B17" s="13"/>
      <c r="C17" s="14" t="str">
        <f>IFERROR(VLOOKUP($B17,'Cost Library'!$A$2:$M$159,2,FALSE),"")</f>
        <v/>
      </c>
      <c r="D17" s="14" t="str">
        <f>IFERROR(VLOOKUP($B17,'Cost Library'!$A$2:$M$159,3,FALSE),"")</f>
        <v/>
      </c>
      <c r="E17" s="13"/>
      <c r="F17" s="13"/>
      <c r="G17" s="13" t="str">
        <f>IFERROR(VLOOKUP($B17,'Cost Library'!$A$2:$M$159,5,FALSE),"")</f>
        <v/>
      </c>
      <c r="H17" s="13"/>
      <c r="I17" s="13"/>
      <c r="J17" s="13"/>
      <c r="K17" s="13"/>
      <c r="L17" s="13">
        <v>1</v>
      </c>
      <c r="M17" s="14" t="str">
        <f>IFERROR(VLOOKUP($B17,'Cost Library'!$A$2:$M$159,6,FALSE),"")</f>
        <v/>
      </c>
      <c r="N17" s="15">
        <f>IFERROR(VLOOKUP($B17,'Cost Library'!$A$2:$M$159,7,FALSE),0)</f>
        <v>0</v>
      </c>
      <c r="O17" s="15">
        <f>IFERROR(VLOOKUP($B17,'Cost Library'!$A$2:$M$159,8,FALSE),0)</f>
        <v>0</v>
      </c>
      <c r="P17" s="15">
        <f>IFERROR(VLOOKUP($B17,'Cost Library'!$A$2:$M$159,9,FALSE),0)</f>
        <v>0</v>
      </c>
      <c r="Q17" s="16"/>
      <c r="R17" s="16" t="s">
        <v>116</v>
      </c>
      <c r="S17" s="17">
        <f t="shared" si="0"/>
        <v>0</v>
      </c>
      <c r="T17" s="18">
        <f>'Project Inputs'!$C$15</f>
        <v>0.1</v>
      </c>
      <c r="U17" s="17">
        <f t="shared" si="1"/>
        <v>0</v>
      </c>
      <c r="V17" s="11" t="s">
        <v>247</v>
      </c>
      <c r="W17" s="14" t="str">
        <f>IFERROR(VLOOKUP($B17,'Cost Library'!$A$2:$M$159,10,FALSE),"")</f>
        <v/>
      </c>
      <c r="X17" s="11"/>
      <c r="Y17" s="11"/>
      <c r="Z17" s="11"/>
      <c r="AA17" s="11"/>
      <c r="AB17" s="11"/>
      <c r="AC17" s="11"/>
      <c r="AD17" s="30"/>
      <c r="AE17" s="31"/>
      <c r="AF17" s="3">
        <f t="shared" si="2"/>
        <v>0</v>
      </c>
      <c r="AG17" s="31"/>
      <c r="AH17" s="31"/>
      <c r="AI17" s="3">
        <f t="shared" si="3"/>
        <v>0</v>
      </c>
      <c r="AJ17" s="31"/>
      <c r="AK17" s="31"/>
      <c r="AL17" s="3">
        <f t="shared" si="4"/>
        <v>0</v>
      </c>
      <c r="AM17" s="3">
        <f>IF($A17&lt;&gt;"Yes",0,IF($R17="Detailed Breakdown",$AF17,$S17*IFERROR(VLOOKUP($B17,'Cost Library'!$A$2:$Q$159,14,FALSE),0.4)))</f>
        <v>0</v>
      </c>
      <c r="AN17" s="3">
        <f>IF($A17&lt;&gt;"Yes",0,IF($R17="Detailed Breakdown",$AI17,$S17*IFERROR(VLOOKUP($B17,'Cost Library'!$A$2:$Q$159,15,FALSE),0.5)))</f>
        <v>0</v>
      </c>
      <c r="AO17" s="3">
        <f>IF($A17&lt;&gt;"Yes",0,IF($R17="Detailed Breakdown",$AJ17+$AK17,$S17*IFERROR(VLOOKUP($B17,'Cost Library'!$A$2:$Q$159,16,FALSE),0.1)))</f>
        <v>0</v>
      </c>
      <c r="AP17" s="3">
        <f t="shared" si="5"/>
        <v>0</v>
      </c>
      <c r="AQ17" s="32">
        <f t="shared" si="6"/>
        <v>0</v>
      </c>
      <c r="AR17" s="32">
        <f t="shared" si="7"/>
        <v>0</v>
      </c>
      <c r="AS17" s="32">
        <f t="shared" si="8"/>
        <v>0</v>
      </c>
      <c r="AT17" s="2" t="str">
        <f t="shared" si="9"/>
        <v/>
      </c>
      <c r="AU17" s="31" t="s">
        <v>116</v>
      </c>
      <c r="AV17" s="3">
        <f t="shared" si="10"/>
        <v>0</v>
      </c>
      <c r="AW17" s="3">
        <f t="shared" si="11"/>
        <v>0</v>
      </c>
      <c r="AX17" s="3">
        <f t="shared" si="12"/>
        <v>0</v>
      </c>
      <c r="AY17" s="3">
        <f t="shared" si="13"/>
        <v>0</v>
      </c>
      <c r="AZ17" s="3">
        <f t="shared" si="14"/>
        <v>0</v>
      </c>
      <c r="BA17" s="32">
        <f t="shared" si="15"/>
        <v>0</v>
      </c>
      <c r="BB17" s="2" t="str">
        <f t="shared" si="16"/>
        <v/>
      </c>
    </row>
    <row r="18" spans="1:54" ht="14.4">
      <c r="A18" s="13" t="s">
        <v>161</v>
      </c>
      <c r="B18" s="13"/>
      <c r="C18" s="14" t="str">
        <f>IFERROR(VLOOKUP($B18,'Cost Library'!$A$2:$M$159,2,FALSE),"")</f>
        <v/>
      </c>
      <c r="D18" s="14" t="str">
        <f>IFERROR(VLOOKUP($B18,'Cost Library'!$A$2:$M$159,3,FALSE),"")</f>
        <v/>
      </c>
      <c r="E18" s="13"/>
      <c r="F18" s="13"/>
      <c r="G18" s="13" t="str">
        <f>IFERROR(VLOOKUP($B18,'Cost Library'!$A$2:$M$159,5,FALSE),"")</f>
        <v/>
      </c>
      <c r="H18" s="13"/>
      <c r="I18" s="13"/>
      <c r="J18" s="13"/>
      <c r="K18" s="13"/>
      <c r="L18" s="13">
        <v>1</v>
      </c>
      <c r="M18" s="14" t="str">
        <f>IFERROR(VLOOKUP($B18,'Cost Library'!$A$2:$M$159,6,FALSE),"")</f>
        <v/>
      </c>
      <c r="N18" s="15">
        <f>IFERROR(VLOOKUP($B18,'Cost Library'!$A$2:$M$159,7,FALSE),0)</f>
        <v>0</v>
      </c>
      <c r="O18" s="15">
        <f>IFERROR(VLOOKUP($B18,'Cost Library'!$A$2:$M$159,8,FALSE),0)</f>
        <v>0</v>
      </c>
      <c r="P18" s="15">
        <f>IFERROR(VLOOKUP($B18,'Cost Library'!$A$2:$M$159,9,FALSE),0)</f>
        <v>0</v>
      </c>
      <c r="Q18" s="16"/>
      <c r="R18" s="16" t="s">
        <v>116</v>
      </c>
      <c r="S18" s="17">
        <f t="shared" si="0"/>
        <v>0</v>
      </c>
      <c r="T18" s="18">
        <f>'Project Inputs'!$C$15</f>
        <v>0.1</v>
      </c>
      <c r="U18" s="17">
        <f t="shared" si="1"/>
        <v>0</v>
      </c>
      <c r="V18" s="11" t="s">
        <v>247</v>
      </c>
      <c r="W18" s="14" t="str">
        <f>IFERROR(VLOOKUP($B18,'Cost Library'!$A$2:$M$159,10,FALSE),"")</f>
        <v/>
      </c>
      <c r="X18" s="11"/>
      <c r="Y18" s="11"/>
      <c r="Z18" s="11"/>
      <c r="AA18" s="11"/>
      <c r="AB18" s="11"/>
      <c r="AC18" s="11"/>
      <c r="AD18" s="30"/>
      <c r="AE18" s="31"/>
      <c r="AF18" s="3">
        <f t="shared" si="2"/>
        <v>0</v>
      </c>
      <c r="AG18" s="31"/>
      <c r="AH18" s="31"/>
      <c r="AI18" s="3">
        <f t="shared" si="3"/>
        <v>0</v>
      </c>
      <c r="AJ18" s="31"/>
      <c r="AK18" s="31"/>
      <c r="AL18" s="3">
        <f t="shared" si="4"/>
        <v>0</v>
      </c>
      <c r="AM18" s="3">
        <f>IF($A18&lt;&gt;"Yes",0,IF($R18="Detailed Breakdown",$AF18,$S18*IFERROR(VLOOKUP($B18,'Cost Library'!$A$2:$Q$159,14,FALSE),0.4)))</f>
        <v>0</v>
      </c>
      <c r="AN18" s="3">
        <f>IF($A18&lt;&gt;"Yes",0,IF($R18="Detailed Breakdown",$AI18,$S18*IFERROR(VLOOKUP($B18,'Cost Library'!$A$2:$Q$159,15,FALSE),0.5)))</f>
        <v>0</v>
      </c>
      <c r="AO18" s="3">
        <f>IF($A18&lt;&gt;"Yes",0,IF($R18="Detailed Breakdown",$AJ18+$AK18,$S18*IFERROR(VLOOKUP($B18,'Cost Library'!$A$2:$Q$159,16,FALSE),0.1)))</f>
        <v>0</v>
      </c>
      <c r="AP18" s="3">
        <f t="shared" si="5"/>
        <v>0</v>
      </c>
      <c r="AQ18" s="32">
        <f t="shared" si="6"/>
        <v>0</v>
      </c>
      <c r="AR18" s="32">
        <f t="shared" si="7"/>
        <v>0</v>
      </c>
      <c r="AS18" s="32">
        <f t="shared" si="8"/>
        <v>0</v>
      </c>
      <c r="AT18" s="2" t="str">
        <f t="shared" si="9"/>
        <v/>
      </c>
      <c r="AU18" s="31" t="s">
        <v>116</v>
      </c>
      <c r="AV18" s="3">
        <f t="shared" si="10"/>
        <v>0</v>
      </c>
      <c r="AW18" s="3">
        <f t="shared" si="11"/>
        <v>0</v>
      </c>
      <c r="AX18" s="3">
        <f t="shared" si="12"/>
        <v>0</v>
      </c>
      <c r="AY18" s="3">
        <f t="shared" si="13"/>
        <v>0</v>
      </c>
      <c r="AZ18" s="3">
        <f t="shared" si="14"/>
        <v>0</v>
      </c>
      <c r="BA18" s="32">
        <f t="shared" si="15"/>
        <v>0</v>
      </c>
      <c r="BB18" s="2" t="str">
        <f t="shared" si="16"/>
        <v/>
      </c>
    </row>
    <row r="19" spans="1:54" ht="14.4">
      <c r="A19" s="13" t="s">
        <v>161</v>
      </c>
      <c r="B19" s="13"/>
      <c r="C19" s="14" t="str">
        <f>IFERROR(VLOOKUP($B19,'Cost Library'!$A$2:$M$159,2,FALSE),"")</f>
        <v/>
      </c>
      <c r="D19" s="14" t="str">
        <f>IFERROR(VLOOKUP($B19,'Cost Library'!$A$2:$M$159,3,FALSE),"")</f>
        <v/>
      </c>
      <c r="E19" s="13"/>
      <c r="F19" s="13"/>
      <c r="G19" s="13" t="str">
        <f>IFERROR(VLOOKUP($B19,'Cost Library'!$A$2:$M$159,5,FALSE),"")</f>
        <v/>
      </c>
      <c r="H19" s="13"/>
      <c r="I19" s="13"/>
      <c r="J19" s="13"/>
      <c r="K19" s="13"/>
      <c r="L19" s="13">
        <v>1</v>
      </c>
      <c r="M19" s="14" t="str">
        <f>IFERROR(VLOOKUP($B19,'Cost Library'!$A$2:$M$159,6,FALSE),"")</f>
        <v/>
      </c>
      <c r="N19" s="15">
        <f>IFERROR(VLOOKUP($B19,'Cost Library'!$A$2:$M$159,7,FALSE),0)</f>
        <v>0</v>
      </c>
      <c r="O19" s="15">
        <f>IFERROR(VLOOKUP($B19,'Cost Library'!$A$2:$M$159,8,FALSE),0)</f>
        <v>0</v>
      </c>
      <c r="P19" s="15">
        <f>IFERROR(VLOOKUP($B19,'Cost Library'!$A$2:$M$159,9,FALSE),0)</f>
        <v>0</v>
      </c>
      <c r="Q19" s="16"/>
      <c r="R19" s="16" t="s">
        <v>116</v>
      </c>
      <c r="S19" s="17">
        <f t="shared" si="0"/>
        <v>0</v>
      </c>
      <c r="T19" s="18">
        <f>'Project Inputs'!$C$15</f>
        <v>0.1</v>
      </c>
      <c r="U19" s="17">
        <f t="shared" si="1"/>
        <v>0</v>
      </c>
      <c r="V19" s="11" t="s">
        <v>247</v>
      </c>
      <c r="W19" s="14" t="str">
        <f>IFERROR(VLOOKUP($B19,'Cost Library'!$A$2:$M$159,10,FALSE),"")</f>
        <v/>
      </c>
      <c r="X19" s="11"/>
      <c r="Y19" s="11"/>
      <c r="Z19" s="11"/>
      <c r="AA19" s="11"/>
      <c r="AB19" s="11"/>
      <c r="AC19" s="11"/>
      <c r="AD19" s="30"/>
      <c r="AE19" s="31"/>
      <c r="AF19" s="3">
        <f t="shared" si="2"/>
        <v>0</v>
      </c>
      <c r="AG19" s="31"/>
      <c r="AH19" s="31"/>
      <c r="AI19" s="3">
        <f t="shared" si="3"/>
        <v>0</v>
      </c>
      <c r="AJ19" s="31"/>
      <c r="AK19" s="31"/>
      <c r="AL19" s="3">
        <f t="shared" si="4"/>
        <v>0</v>
      </c>
      <c r="AM19" s="3">
        <f>IF($A19&lt;&gt;"Yes",0,IF($R19="Detailed Breakdown",$AF19,$S19*IFERROR(VLOOKUP($B19,'Cost Library'!$A$2:$Q$159,14,FALSE),0.4)))</f>
        <v>0</v>
      </c>
      <c r="AN19" s="3">
        <f>IF($A19&lt;&gt;"Yes",0,IF($R19="Detailed Breakdown",$AI19,$S19*IFERROR(VLOOKUP($B19,'Cost Library'!$A$2:$Q$159,15,FALSE),0.5)))</f>
        <v>0</v>
      </c>
      <c r="AO19" s="3">
        <f>IF($A19&lt;&gt;"Yes",0,IF($R19="Detailed Breakdown",$AJ19+$AK19,$S19*IFERROR(VLOOKUP($B19,'Cost Library'!$A$2:$Q$159,16,FALSE),0.1)))</f>
        <v>0</v>
      </c>
      <c r="AP19" s="3">
        <f t="shared" si="5"/>
        <v>0</v>
      </c>
      <c r="AQ19" s="32">
        <f t="shared" si="6"/>
        <v>0</v>
      </c>
      <c r="AR19" s="32">
        <f t="shared" si="7"/>
        <v>0</v>
      </c>
      <c r="AS19" s="32">
        <f t="shared" si="8"/>
        <v>0</v>
      </c>
      <c r="AT19" s="2" t="str">
        <f t="shared" si="9"/>
        <v/>
      </c>
      <c r="AU19" s="31" t="s">
        <v>116</v>
      </c>
      <c r="AV19" s="3">
        <f t="shared" si="10"/>
        <v>0</v>
      </c>
      <c r="AW19" s="3">
        <f t="shared" si="11"/>
        <v>0</v>
      </c>
      <c r="AX19" s="3">
        <f t="shared" si="12"/>
        <v>0</v>
      </c>
      <c r="AY19" s="3">
        <f t="shared" si="13"/>
        <v>0</v>
      </c>
      <c r="AZ19" s="3">
        <f t="shared" si="14"/>
        <v>0</v>
      </c>
      <c r="BA19" s="32">
        <f t="shared" si="15"/>
        <v>0</v>
      </c>
      <c r="BB19" s="2" t="str">
        <f t="shared" si="16"/>
        <v/>
      </c>
    </row>
    <row r="20" spans="1:54" ht="14.4">
      <c r="A20" s="13" t="s">
        <v>161</v>
      </c>
      <c r="B20" s="13"/>
      <c r="C20" s="14" t="str">
        <f>IFERROR(VLOOKUP($B20,'Cost Library'!$A$2:$M$159,2,FALSE),"")</f>
        <v/>
      </c>
      <c r="D20" s="14" t="str">
        <f>IFERROR(VLOOKUP($B20,'Cost Library'!$A$2:$M$159,3,FALSE),"")</f>
        <v/>
      </c>
      <c r="E20" s="13"/>
      <c r="F20" s="13"/>
      <c r="G20" s="13" t="str">
        <f>IFERROR(VLOOKUP($B20,'Cost Library'!$A$2:$M$159,5,FALSE),"")</f>
        <v/>
      </c>
      <c r="H20" s="13"/>
      <c r="I20" s="13"/>
      <c r="J20" s="13"/>
      <c r="K20" s="13"/>
      <c r="L20" s="13">
        <v>1</v>
      </c>
      <c r="M20" s="14" t="str">
        <f>IFERROR(VLOOKUP($B20,'Cost Library'!$A$2:$M$159,6,FALSE),"")</f>
        <v/>
      </c>
      <c r="N20" s="15">
        <f>IFERROR(VLOOKUP($B20,'Cost Library'!$A$2:$M$159,7,FALSE),0)</f>
        <v>0</v>
      </c>
      <c r="O20" s="15">
        <f>IFERROR(VLOOKUP($B20,'Cost Library'!$A$2:$M$159,8,FALSE),0)</f>
        <v>0</v>
      </c>
      <c r="P20" s="15">
        <f>IFERROR(VLOOKUP($B20,'Cost Library'!$A$2:$M$159,9,FALSE),0)</f>
        <v>0</v>
      </c>
      <c r="Q20" s="16"/>
      <c r="R20" s="16" t="s">
        <v>116</v>
      </c>
      <c r="S20" s="17">
        <f t="shared" si="0"/>
        <v>0</v>
      </c>
      <c r="T20" s="18">
        <f>'Project Inputs'!$C$15</f>
        <v>0.1</v>
      </c>
      <c r="U20" s="17">
        <f t="shared" si="1"/>
        <v>0</v>
      </c>
      <c r="V20" s="11" t="s">
        <v>247</v>
      </c>
      <c r="W20" s="14" t="str">
        <f>IFERROR(VLOOKUP($B20,'Cost Library'!$A$2:$M$159,10,FALSE),"")</f>
        <v/>
      </c>
      <c r="X20" s="11"/>
      <c r="Y20" s="11"/>
      <c r="Z20" s="11"/>
      <c r="AA20" s="11"/>
      <c r="AB20" s="11"/>
      <c r="AC20" s="11"/>
      <c r="AD20" s="30"/>
      <c r="AE20" s="31"/>
      <c r="AF20" s="3">
        <f t="shared" si="2"/>
        <v>0</v>
      </c>
      <c r="AG20" s="31"/>
      <c r="AH20" s="31"/>
      <c r="AI20" s="3">
        <f t="shared" si="3"/>
        <v>0</v>
      </c>
      <c r="AJ20" s="31"/>
      <c r="AK20" s="31"/>
      <c r="AL20" s="3">
        <f t="shared" si="4"/>
        <v>0</v>
      </c>
      <c r="AM20" s="3">
        <f>IF($A20&lt;&gt;"Yes",0,IF($R20="Detailed Breakdown",$AF20,$S20*IFERROR(VLOOKUP($B20,'Cost Library'!$A$2:$Q$159,14,FALSE),0.4)))</f>
        <v>0</v>
      </c>
      <c r="AN20" s="3">
        <f>IF($A20&lt;&gt;"Yes",0,IF($R20="Detailed Breakdown",$AI20,$S20*IFERROR(VLOOKUP($B20,'Cost Library'!$A$2:$Q$159,15,FALSE),0.5)))</f>
        <v>0</v>
      </c>
      <c r="AO20" s="3">
        <f>IF($A20&lt;&gt;"Yes",0,IF($R20="Detailed Breakdown",$AJ20+$AK20,$S20*IFERROR(VLOOKUP($B20,'Cost Library'!$A$2:$Q$159,16,FALSE),0.1)))</f>
        <v>0</v>
      </c>
      <c r="AP20" s="3">
        <f t="shared" si="5"/>
        <v>0</v>
      </c>
      <c r="AQ20" s="32">
        <f t="shared" si="6"/>
        <v>0</v>
      </c>
      <c r="AR20" s="32">
        <f t="shared" si="7"/>
        <v>0</v>
      </c>
      <c r="AS20" s="32">
        <f t="shared" si="8"/>
        <v>0</v>
      </c>
      <c r="AT20" s="2" t="str">
        <f t="shared" si="9"/>
        <v/>
      </c>
      <c r="AU20" s="31" t="s">
        <v>116</v>
      </c>
      <c r="AV20" s="3">
        <f t="shared" si="10"/>
        <v>0</v>
      </c>
      <c r="AW20" s="3">
        <f t="shared" si="11"/>
        <v>0</v>
      </c>
      <c r="AX20" s="3">
        <f t="shared" si="12"/>
        <v>0</v>
      </c>
      <c r="AY20" s="3">
        <f t="shared" si="13"/>
        <v>0</v>
      </c>
      <c r="AZ20" s="3">
        <f t="shared" si="14"/>
        <v>0</v>
      </c>
      <c r="BA20" s="32">
        <f t="shared" si="15"/>
        <v>0</v>
      </c>
      <c r="BB20" s="2" t="str">
        <f t="shared" si="16"/>
        <v/>
      </c>
    </row>
    <row r="21" spans="1:54" ht="14.4">
      <c r="A21" s="13" t="s">
        <v>161</v>
      </c>
      <c r="B21" s="13"/>
      <c r="C21" s="14" t="str">
        <f>IFERROR(VLOOKUP($B21,'Cost Library'!$A$2:$M$159,2,FALSE),"")</f>
        <v/>
      </c>
      <c r="D21" s="14" t="str">
        <f>IFERROR(VLOOKUP($B21,'Cost Library'!$A$2:$M$159,3,FALSE),"")</f>
        <v/>
      </c>
      <c r="E21" s="13"/>
      <c r="F21" s="13"/>
      <c r="G21" s="13" t="str">
        <f>IFERROR(VLOOKUP($B21,'Cost Library'!$A$2:$M$159,5,FALSE),"")</f>
        <v/>
      </c>
      <c r="H21" s="13"/>
      <c r="I21" s="13"/>
      <c r="J21" s="13"/>
      <c r="K21" s="13"/>
      <c r="L21" s="13">
        <v>1</v>
      </c>
      <c r="M21" s="14" t="str">
        <f>IFERROR(VLOOKUP($B21,'Cost Library'!$A$2:$M$159,6,FALSE),"")</f>
        <v/>
      </c>
      <c r="N21" s="15">
        <f>IFERROR(VLOOKUP($B21,'Cost Library'!$A$2:$M$159,7,FALSE),0)</f>
        <v>0</v>
      </c>
      <c r="O21" s="15">
        <f>IFERROR(VLOOKUP($B21,'Cost Library'!$A$2:$M$159,8,FALSE),0)</f>
        <v>0</v>
      </c>
      <c r="P21" s="15">
        <f>IFERROR(VLOOKUP($B21,'Cost Library'!$A$2:$M$159,9,FALSE),0)</f>
        <v>0</v>
      </c>
      <c r="Q21" s="16"/>
      <c r="R21" s="16" t="s">
        <v>116</v>
      </c>
      <c r="S21" s="17">
        <f t="shared" si="0"/>
        <v>0</v>
      </c>
      <c r="T21" s="18">
        <f>'Project Inputs'!$C$15</f>
        <v>0.1</v>
      </c>
      <c r="U21" s="17">
        <f t="shared" si="1"/>
        <v>0</v>
      </c>
      <c r="V21" s="11" t="s">
        <v>247</v>
      </c>
      <c r="W21" s="14" t="str">
        <f>IFERROR(VLOOKUP($B21,'Cost Library'!$A$2:$M$159,10,FALSE),"")</f>
        <v/>
      </c>
      <c r="X21" s="11"/>
      <c r="Y21" s="11"/>
      <c r="Z21" s="11"/>
      <c r="AA21" s="11"/>
      <c r="AB21" s="11"/>
      <c r="AC21" s="11"/>
      <c r="AD21" s="30"/>
      <c r="AE21" s="31"/>
      <c r="AF21" s="3">
        <f t="shared" si="2"/>
        <v>0</v>
      </c>
      <c r="AG21" s="31"/>
      <c r="AH21" s="31"/>
      <c r="AI21" s="3">
        <f t="shared" si="3"/>
        <v>0</v>
      </c>
      <c r="AJ21" s="31"/>
      <c r="AK21" s="31"/>
      <c r="AL21" s="3">
        <f t="shared" si="4"/>
        <v>0</v>
      </c>
      <c r="AM21" s="3">
        <f>IF($A21&lt;&gt;"Yes",0,IF($R21="Detailed Breakdown",$AF21,$S21*IFERROR(VLOOKUP($B21,'Cost Library'!$A$2:$Q$159,14,FALSE),0.4)))</f>
        <v>0</v>
      </c>
      <c r="AN21" s="3">
        <f>IF($A21&lt;&gt;"Yes",0,IF($R21="Detailed Breakdown",$AI21,$S21*IFERROR(VLOOKUP($B21,'Cost Library'!$A$2:$Q$159,15,FALSE),0.5)))</f>
        <v>0</v>
      </c>
      <c r="AO21" s="3">
        <f>IF($A21&lt;&gt;"Yes",0,IF($R21="Detailed Breakdown",$AJ21+$AK21,$S21*IFERROR(VLOOKUP($B21,'Cost Library'!$A$2:$Q$159,16,FALSE),0.1)))</f>
        <v>0</v>
      </c>
      <c r="AP21" s="3">
        <f t="shared" si="5"/>
        <v>0</v>
      </c>
      <c r="AQ21" s="32">
        <f t="shared" si="6"/>
        <v>0</v>
      </c>
      <c r="AR21" s="32">
        <f t="shared" si="7"/>
        <v>0</v>
      </c>
      <c r="AS21" s="32">
        <f t="shared" si="8"/>
        <v>0</v>
      </c>
      <c r="AT21" s="2" t="str">
        <f t="shared" si="9"/>
        <v/>
      </c>
      <c r="AU21" s="31" t="s">
        <v>116</v>
      </c>
      <c r="AV21" s="3">
        <f t="shared" si="10"/>
        <v>0</v>
      </c>
      <c r="AW21" s="3">
        <f t="shared" si="11"/>
        <v>0</v>
      </c>
      <c r="AX21" s="3">
        <f t="shared" si="12"/>
        <v>0</v>
      </c>
      <c r="AY21" s="3">
        <f t="shared" si="13"/>
        <v>0</v>
      </c>
      <c r="AZ21" s="3">
        <f t="shared" si="14"/>
        <v>0</v>
      </c>
      <c r="BA21" s="32">
        <f t="shared" si="15"/>
        <v>0</v>
      </c>
      <c r="BB21" s="2" t="str">
        <f t="shared" si="16"/>
        <v/>
      </c>
    </row>
    <row r="22" spans="1:54" ht="14.4">
      <c r="A22" s="13" t="s">
        <v>161</v>
      </c>
      <c r="B22" s="13"/>
      <c r="C22" s="14" t="str">
        <f>IFERROR(VLOOKUP($B22,'Cost Library'!$A$2:$M$159,2,FALSE),"")</f>
        <v/>
      </c>
      <c r="D22" s="14" t="str">
        <f>IFERROR(VLOOKUP($B22,'Cost Library'!$A$2:$M$159,3,FALSE),"")</f>
        <v/>
      </c>
      <c r="E22" s="13"/>
      <c r="F22" s="13"/>
      <c r="G22" s="13" t="str">
        <f>IFERROR(VLOOKUP($B22,'Cost Library'!$A$2:$M$159,5,FALSE),"")</f>
        <v/>
      </c>
      <c r="H22" s="13"/>
      <c r="I22" s="13"/>
      <c r="J22" s="13"/>
      <c r="K22" s="13"/>
      <c r="L22" s="13">
        <v>1</v>
      </c>
      <c r="M22" s="14" t="str">
        <f>IFERROR(VLOOKUP($B22,'Cost Library'!$A$2:$M$159,6,FALSE),"")</f>
        <v/>
      </c>
      <c r="N22" s="15">
        <f>IFERROR(VLOOKUP($B22,'Cost Library'!$A$2:$M$159,7,FALSE),0)</f>
        <v>0</v>
      </c>
      <c r="O22" s="15">
        <f>IFERROR(VLOOKUP($B22,'Cost Library'!$A$2:$M$159,8,FALSE),0)</f>
        <v>0</v>
      </c>
      <c r="P22" s="15">
        <f>IFERROR(VLOOKUP($B22,'Cost Library'!$A$2:$M$159,9,FALSE),0)</f>
        <v>0</v>
      </c>
      <c r="Q22" s="16"/>
      <c r="R22" s="16" t="s">
        <v>116</v>
      </c>
      <c r="S22" s="17">
        <f t="shared" si="0"/>
        <v>0</v>
      </c>
      <c r="T22" s="18">
        <f>'Project Inputs'!$C$15</f>
        <v>0.1</v>
      </c>
      <c r="U22" s="17">
        <f t="shared" si="1"/>
        <v>0</v>
      </c>
      <c r="V22" s="11" t="s">
        <v>247</v>
      </c>
      <c r="W22" s="14" t="str">
        <f>IFERROR(VLOOKUP($B22,'Cost Library'!$A$2:$M$159,10,FALSE),"")</f>
        <v/>
      </c>
      <c r="X22" s="11"/>
      <c r="Y22" s="11"/>
      <c r="Z22" s="11"/>
      <c r="AA22" s="11"/>
      <c r="AB22" s="11"/>
      <c r="AC22" s="11"/>
      <c r="AD22" s="30"/>
      <c r="AE22" s="31"/>
      <c r="AF22" s="3">
        <f t="shared" si="2"/>
        <v>0</v>
      </c>
      <c r="AG22" s="31"/>
      <c r="AH22" s="31"/>
      <c r="AI22" s="3">
        <f t="shared" si="3"/>
        <v>0</v>
      </c>
      <c r="AJ22" s="31"/>
      <c r="AK22" s="31"/>
      <c r="AL22" s="3">
        <f t="shared" si="4"/>
        <v>0</v>
      </c>
      <c r="AM22" s="3">
        <f>IF($A22&lt;&gt;"Yes",0,IF($R22="Detailed Breakdown",$AF22,$S22*IFERROR(VLOOKUP($B22,'Cost Library'!$A$2:$Q$159,14,FALSE),0.4)))</f>
        <v>0</v>
      </c>
      <c r="AN22" s="3">
        <f>IF($A22&lt;&gt;"Yes",0,IF($R22="Detailed Breakdown",$AI22,$S22*IFERROR(VLOOKUP($B22,'Cost Library'!$A$2:$Q$159,15,FALSE),0.5)))</f>
        <v>0</v>
      </c>
      <c r="AO22" s="3">
        <f>IF($A22&lt;&gt;"Yes",0,IF($R22="Detailed Breakdown",$AJ22+$AK22,$S22*IFERROR(VLOOKUP($B22,'Cost Library'!$A$2:$Q$159,16,FALSE),0.1)))</f>
        <v>0</v>
      </c>
      <c r="AP22" s="3">
        <f t="shared" si="5"/>
        <v>0</v>
      </c>
      <c r="AQ22" s="32">
        <f t="shared" si="6"/>
        <v>0</v>
      </c>
      <c r="AR22" s="32">
        <f t="shared" si="7"/>
        <v>0</v>
      </c>
      <c r="AS22" s="32">
        <f t="shared" si="8"/>
        <v>0</v>
      </c>
      <c r="AT22" s="2" t="str">
        <f t="shared" si="9"/>
        <v/>
      </c>
      <c r="AU22" s="31" t="s">
        <v>116</v>
      </c>
      <c r="AV22" s="3">
        <f t="shared" si="10"/>
        <v>0</v>
      </c>
      <c r="AW22" s="3">
        <f t="shared" si="11"/>
        <v>0</v>
      </c>
      <c r="AX22" s="3">
        <f t="shared" si="12"/>
        <v>0</v>
      </c>
      <c r="AY22" s="3">
        <f t="shared" si="13"/>
        <v>0</v>
      </c>
      <c r="AZ22" s="3">
        <f t="shared" si="14"/>
        <v>0</v>
      </c>
      <c r="BA22" s="32">
        <f t="shared" si="15"/>
        <v>0</v>
      </c>
      <c r="BB22" s="2" t="str">
        <f t="shared" si="16"/>
        <v/>
      </c>
    </row>
    <row r="23" spans="1:54" ht="14.4">
      <c r="A23" s="13" t="s">
        <v>161</v>
      </c>
      <c r="B23" s="13"/>
      <c r="C23" s="14" t="str">
        <f>IFERROR(VLOOKUP($B23,'Cost Library'!$A$2:$M$159,2,FALSE),"")</f>
        <v/>
      </c>
      <c r="D23" s="14" t="str">
        <f>IFERROR(VLOOKUP($B23,'Cost Library'!$A$2:$M$159,3,FALSE),"")</f>
        <v/>
      </c>
      <c r="E23" s="13"/>
      <c r="F23" s="13"/>
      <c r="G23" s="13" t="str">
        <f>IFERROR(VLOOKUP($B23,'Cost Library'!$A$2:$M$159,5,FALSE),"")</f>
        <v/>
      </c>
      <c r="H23" s="13"/>
      <c r="I23" s="13"/>
      <c r="J23" s="13"/>
      <c r="K23" s="13"/>
      <c r="L23" s="13">
        <v>1</v>
      </c>
      <c r="M23" s="14" t="str">
        <f>IFERROR(VLOOKUP($B23,'Cost Library'!$A$2:$M$159,6,FALSE),"")</f>
        <v/>
      </c>
      <c r="N23" s="15">
        <f>IFERROR(VLOOKUP($B23,'Cost Library'!$A$2:$M$159,7,FALSE),0)</f>
        <v>0</v>
      </c>
      <c r="O23" s="15">
        <f>IFERROR(VLOOKUP($B23,'Cost Library'!$A$2:$M$159,8,FALSE),0)</f>
        <v>0</v>
      </c>
      <c r="P23" s="15">
        <f>IFERROR(VLOOKUP($B23,'Cost Library'!$A$2:$M$159,9,FALSE),0)</f>
        <v>0</v>
      </c>
      <c r="Q23" s="16"/>
      <c r="R23" s="16" t="s">
        <v>116</v>
      </c>
      <c r="S23" s="17">
        <f t="shared" si="0"/>
        <v>0</v>
      </c>
      <c r="T23" s="18">
        <f>'Project Inputs'!$C$15</f>
        <v>0.1</v>
      </c>
      <c r="U23" s="17">
        <f t="shared" si="1"/>
        <v>0</v>
      </c>
      <c r="V23" s="11" t="s">
        <v>247</v>
      </c>
      <c r="W23" s="14" t="str">
        <f>IFERROR(VLOOKUP($B23,'Cost Library'!$A$2:$M$159,10,FALSE),"")</f>
        <v/>
      </c>
      <c r="X23" s="11"/>
      <c r="Y23" s="11"/>
      <c r="Z23" s="11"/>
      <c r="AA23" s="11"/>
      <c r="AB23" s="11"/>
      <c r="AC23" s="11"/>
      <c r="AD23" s="30"/>
      <c r="AE23" s="31"/>
      <c r="AF23" s="3">
        <f t="shared" si="2"/>
        <v>0</v>
      </c>
      <c r="AG23" s="31"/>
      <c r="AH23" s="31"/>
      <c r="AI23" s="3">
        <f t="shared" si="3"/>
        <v>0</v>
      </c>
      <c r="AJ23" s="31"/>
      <c r="AK23" s="31"/>
      <c r="AL23" s="3">
        <f t="shared" si="4"/>
        <v>0</v>
      </c>
      <c r="AM23" s="3">
        <f>IF($A23&lt;&gt;"Yes",0,IF($R23="Detailed Breakdown",$AF23,$S23*IFERROR(VLOOKUP($B23,'Cost Library'!$A$2:$Q$159,14,FALSE),0.4)))</f>
        <v>0</v>
      </c>
      <c r="AN23" s="3">
        <f>IF($A23&lt;&gt;"Yes",0,IF($R23="Detailed Breakdown",$AI23,$S23*IFERROR(VLOOKUP($B23,'Cost Library'!$A$2:$Q$159,15,FALSE),0.5)))</f>
        <v>0</v>
      </c>
      <c r="AO23" s="3">
        <f>IF($A23&lt;&gt;"Yes",0,IF($R23="Detailed Breakdown",$AJ23+$AK23,$S23*IFERROR(VLOOKUP($B23,'Cost Library'!$A$2:$Q$159,16,FALSE),0.1)))</f>
        <v>0</v>
      </c>
      <c r="AP23" s="3">
        <f t="shared" si="5"/>
        <v>0</v>
      </c>
      <c r="AQ23" s="32">
        <f t="shared" si="6"/>
        <v>0</v>
      </c>
      <c r="AR23" s="32">
        <f t="shared" si="7"/>
        <v>0</v>
      </c>
      <c r="AS23" s="32">
        <f t="shared" si="8"/>
        <v>0</v>
      </c>
      <c r="AT23" s="2" t="str">
        <f t="shared" si="9"/>
        <v/>
      </c>
      <c r="AU23" s="31" t="s">
        <v>116</v>
      </c>
      <c r="AV23" s="3">
        <f t="shared" si="10"/>
        <v>0</v>
      </c>
      <c r="AW23" s="3">
        <f t="shared" si="11"/>
        <v>0</v>
      </c>
      <c r="AX23" s="3">
        <f t="shared" si="12"/>
        <v>0</v>
      </c>
      <c r="AY23" s="3">
        <f t="shared" si="13"/>
        <v>0</v>
      </c>
      <c r="AZ23" s="3">
        <f t="shared" si="14"/>
        <v>0</v>
      </c>
      <c r="BA23" s="32">
        <f t="shared" si="15"/>
        <v>0</v>
      </c>
      <c r="BB23" s="2" t="str">
        <f t="shared" si="16"/>
        <v/>
      </c>
    </row>
    <row r="24" spans="1:54" ht="14.4">
      <c r="A24" s="13" t="s">
        <v>161</v>
      </c>
      <c r="B24" s="13"/>
      <c r="C24" s="14" t="str">
        <f>IFERROR(VLOOKUP($B24,'Cost Library'!$A$2:$M$159,2,FALSE),"")</f>
        <v/>
      </c>
      <c r="D24" s="14" t="str">
        <f>IFERROR(VLOOKUP($B24,'Cost Library'!$A$2:$M$159,3,FALSE),"")</f>
        <v/>
      </c>
      <c r="E24" s="13"/>
      <c r="F24" s="13"/>
      <c r="G24" s="13" t="str">
        <f>IFERROR(VLOOKUP($B24,'Cost Library'!$A$2:$M$159,5,FALSE),"")</f>
        <v/>
      </c>
      <c r="H24" s="13"/>
      <c r="I24" s="13"/>
      <c r="J24" s="13"/>
      <c r="K24" s="13"/>
      <c r="L24" s="13">
        <v>1</v>
      </c>
      <c r="M24" s="14" t="str">
        <f>IFERROR(VLOOKUP($B24,'Cost Library'!$A$2:$M$159,6,FALSE),"")</f>
        <v/>
      </c>
      <c r="N24" s="15">
        <f>IFERROR(VLOOKUP($B24,'Cost Library'!$A$2:$M$159,7,FALSE),0)</f>
        <v>0</v>
      </c>
      <c r="O24" s="15">
        <f>IFERROR(VLOOKUP($B24,'Cost Library'!$A$2:$M$159,8,FALSE),0)</f>
        <v>0</v>
      </c>
      <c r="P24" s="15">
        <f>IFERROR(VLOOKUP($B24,'Cost Library'!$A$2:$M$159,9,FALSE),0)</f>
        <v>0</v>
      </c>
      <c r="Q24" s="16"/>
      <c r="R24" s="16" t="s">
        <v>116</v>
      </c>
      <c r="S24" s="17">
        <f t="shared" si="0"/>
        <v>0</v>
      </c>
      <c r="T24" s="18">
        <f>'Project Inputs'!$C$15</f>
        <v>0.1</v>
      </c>
      <c r="U24" s="17">
        <f t="shared" si="1"/>
        <v>0</v>
      </c>
      <c r="V24" s="11" t="s">
        <v>247</v>
      </c>
      <c r="W24" s="14" t="str">
        <f>IFERROR(VLOOKUP($B24,'Cost Library'!$A$2:$M$159,10,FALSE),"")</f>
        <v/>
      </c>
      <c r="X24" s="11"/>
      <c r="Y24" s="11"/>
      <c r="Z24" s="11"/>
      <c r="AA24" s="11"/>
      <c r="AB24" s="11"/>
      <c r="AC24" s="11"/>
      <c r="AD24" s="30"/>
      <c r="AE24" s="31"/>
      <c r="AF24" s="3">
        <f t="shared" si="2"/>
        <v>0</v>
      </c>
      <c r="AG24" s="31"/>
      <c r="AH24" s="31"/>
      <c r="AI24" s="3">
        <f t="shared" si="3"/>
        <v>0</v>
      </c>
      <c r="AJ24" s="31"/>
      <c r="AK24" s="31"/>
      <c r="AL24" s="3">
        <f t="shared" si="4"/>
        <v>0</v>
      </c>
      <c r="AM24" s="3">
        <f>IF($A24&lt;&gt;"Yes",0,IF($R24="Detailed Breakdown",$AF24,$S24*IFERROR(VLOOKUP($B24,'Cost Library'!$A$2:$Q$159,14,FALSE),0.4)))</f>
        <v>0</v>
      </c>
      <c r="AN24" s="3">
        <f>IF($A24&lt;&gt;"Yes",0,IF($R24="Detailed Breakdown",$AI24,$S24*IFERROR(VLOOKUP($B24,'Cost Library'!$A$2:$Q$159,15,FALSE),0.5)))</f>
        <v>0</v>
      </c>
      <c r="AO24" s="3">
        <f>IF($A24&lt;&gt;"Yes",0,IF($R24="Detailed Breakdown",$AJ24+$AK24,$S24*IFERROR(VLOOKUP($B24,'Cost Library'!$A$2:$Q$159,16,FALSE),0.1)))</f>
        <v>0</v>
      </c>
      <c r="AP24" s="3">
        <f t="shared" si="5"/>
        <v>0</v>
      </c>
      <c r="AQ24" s="32">
        <f t="shared" si="6"/>
        <v>0</v>
      </c>
      <c r="AR24" s="32">
        <f t="shared" si="7"/>
        <v>0</v>
      </c>
      <c r="AS24" s="32">
        <f t="shared" si="8"/>
        <v>0</v>
      </c>
      <c r="AT24" s="2" t="str">
        <f t="shared" si="9"/>
        <v/>
      </c>
      <c r="AU24" s="31" t="s">
        <v>116</v>
      </c>
      <c r="AV24" s="3">
        <f t="shared" si="10"/>
        <v>0</v>
      </c>
      <c r="AW24" s="3">
        <f t="shared" si="11"/>
        <v>0</v>
      </c>
      <c r="AX24" s="3">
        <f t="shared" si="12"/>
        <v>0</v>
      </c>
      <c r="AY24" s="3">
        <f t="shared" si="13"/>
        <v>0</v>
      </c>
      <c r="AZ24" s="3">
        <f t="shared" si="14"/>
        <v>0</v>
      </c>
      <c r="BA24" s="32">
        <f t="shared" si="15"/>
        <v>0</v>
      </c>
      <c r="BB24" s="2" t="str">
        <f t="shared" si="16"/>
        <v/>
      </c>
    </row>
    <row r="25" spans="1:54" ht="14.4">
      <c r="A25" s="13" t="s">
        <v>161</v>
      </c>
      <c r="B25" s="13"/>
      <c r="C25" s="14" t="str">
        <f>IFERROR(VLOOKUP($B25,'Cost Library'!$A$2:$M$159,2,FALSE),"")</f>
        <v/>
      </c>
      <c r="D25" s="14" t="str">
        <f>IFERROR(VLOOKUP($B25,'Cost Library'!$A$2:$M$159,3,FALSE),"")</f>
        <v/>
      </c>
      <c r="E25" s="13"/>
      <c r="F25" s="13"/>
      <c r="G25" s="13" t="str">
        <f>IFERROR(VLOOKUP($B25,'Cost Library'!$A$2:$M$159,5,FALSE),"")</f>
        <v/>
      </c>
      <c r="H25" s="13"/>
      <c r="I25" s="13"/>
      <c r="J25" s="13"/>
      <c r="K25" s="13"/>
      <c r="L25" s="13">
        <v>1</v>
      </c>
      <c r="M25" s="14" t="str">
        <f>IFERROR(VLOOKUP($B25,'Cost Library'!$A$2:$M$159,6,FALSE),"")</f>
        <v/>
      </c>
      <c r="N25" s="15">
        <f>IFERROR(VLOOKUP($B25,'Cost Library'!$A$2:$M$159,7,FALSE),0)</f>
        <v>0</v>
      </c>
      <c r="O25" s="15">
        <f>IFERROR(VLOOKUP($B25,'Cost Library'!$A$2:$M$159,8,FALSE),0)</f>
        <v>0</v>
      </c>
      <c r="P25" s="15">
        <f>IFERROR(VLOOKUP($B25,'Cost Library'!$A$2:$M$159,9,FALSE),0)</f>
        <v>0</v>
      </c>
      <c r="Q25" s="16"/>
      <c r="R25" s="16" t="s">
        <v>116</v>
      </c>
      <c r="S25" s="17">
        <f t="shared" si="0"/>
        <v>0</v>
      </c>
      <c r="T25" s="18">
        <f>'Project Inputs'!$C$15</f>
        <v>0.1</v>
      </c>
      <c r="U25" s="17">
        <f t="shared" si="1"/>
        <v>0</v>
      </c>
      <c r="V25" s="11" t="s">
        <v>247</v>
      </c>
      <c r="W25" s="14" t="str">
        <f>IFERROR(VLOOKUP($B25,'Cost Library'!$A$2:$M$159,10,FALSE),"")</f>
        <v/>
      </c>
      <c r="X25" s="11"/>
      <c r="Y25" s="11"/>
      <c r="Z25" s="11"/>
      <c r="AA25" s="11"/>
      <c r="AB25" s="11"/>
      <c r="AC25" s="11"/>
      <c r="AD25" s="30"/>
      <c r="AE25" s="31"/>
      <c r="AF25" s="3">
        <f t="shared" si="2"/>
        <v>0</v>
      </c>
      <c r="AG25" s="31"/>
      <c r="AH25" s="31"/>
      <c r="AI25" s="3">
        <f t="shared" si="3"/>
        <v>0</v>
      </c>
      <c r="AJ25" s="31"/>
      <c r="AK25" s="31"/>
      <c r="AL25" s="3">
        <f t="shared" si="4"/>
        <v>0</v>
      </c>
      <c r="AM25" s="3">
        <f>IF($A25&lt;&gt;"Yes",0,IF($R25="Detailed Breakdown",$AF25,$S25*IFERROR(VLOOKUP($B25,'Cost Library'!$A$2:$Q$159,14,FALSE),0.4)))</f>
        <v>0</v>
      </c>
      <c r="AN25" s="3">
        <f>IF($A25&lt;&gt;"Yes",0,IF($R25="Detailed Breakdown",$AI25,$S25*IFERROR(VLOOKUP($B25,'Cost Library'!$A$2:$Q$159,15,FALSE),0.5)))</f>
        <v>0</v>
      </c>
      <c r="AO25" s="3">
        <f>IF($A25&lt;&gt;"Yes",0,IF($R25="Detailed Breakdown",$AJ25+$AK25,$S25*IFERROR(VLOOKUP($B25,'Cost Library'!$A$2:$Q$159,16,FALSE),0.1)))</f>
        <v>0</v>
      </c>
      <c r="AP25" s="3">
        <f t="shared" si="5"/>
        <v>0</v>
      </c>
      <c r="AQ25" s="32">
        <f t="shared" si="6"/>
        <v>0</v>
      </c>
      <c r="AR25" s="32">
        <f t="shared" si="7"/>
        <v>0</v>
      </c>
      <c r="AS25" s="32">
        <f t="shared" si="8"/>
        <v>0</v>
      </c>
      <c r="AT25" s="2" t="str">
        <f t="shared" si="9"/>
        <v/>
      </c>
      <c r="AU25" s="31" t="s">
        <v>116</v>
      </c>
      <c r="AV25" s="3">
        <f t="shared" si="10"/>
        <v>0</v>
      </c>
      <c r="AW25" s="3">
        <f t="shared" si="11"/>
        <v>0</v>
      </c>
      <c r="AX25" s="3">
        <f t="shared" si="12"/>
        <v>0</v>
      </c>
      <c r="AY25" s="3">
        <f t="shared" si="13"/>
        <v>0</v>
      </c>
      <c r="AZ25" s="3">
        <f t="shared" si="14"/>
        <v>0</v>
      </c>
      <c r="BA25" s="32">
        <f t="shared" si="15"/>
        <v>0</v>
      </c>
      <c r="BB25" s="2" t="str">
        <f t="shared" si="16"/>
        <v/>
      </c>
    </row>
    <row r="26" spans="1:54" ht="14.4">
      <c r="A26" s="13" t="s">
        <v>161</v>
      </c>
      <c r="B26" s="13"/>
      <c r="C26" s="14" t="str">
        <f>IFERROR(VLOOKUP($B26,'Cost Library'!$A$2:$M$159,2,FALSE),"")</f>
        <v/>
      </c>
      <c r="D26" s="14" t="str">
        <f>IFERROR(VLOOKUP($B26,'Cost Library'!$A$2:$M$159,3,FALSE),"")</f>
        <v/>
      </c>
      <c r="E26" s="13"/>
      <c r="F26" s="13"/>
      <c r="G26" s="13" t="str">
        <f>IFERROR(VLOOKUP($B26,'Cost Library'!$A$2:$M$159,5,FALSE),"")</f>
        <v/>
      </c>
      <c r="H26" s="13"/>
      <c r="I26" s="13"/>
      <c r="J26" s="13"/>
      <c r="K26" s="13"/>
      <c r="L26" s="13">
        <v>1</v>
      </c>
      <c r="M26" s="14" t="str">
        <f>IFERROR(VLOOKUP($B26,'Cost Library'!$A$2:$M$159,6,FALSE),"")</f>
        <v/>
      </c>
      <c r="N26" s="15">
        <f>IFERROR(VLOOKUP($B26,'Cost Library'!$A$2:$M$159,7,FALSE),0)</f>
        <v>0</v>
      </c>
      <c r="O26" s="15">
        <f>IFERROR(VLOOKUP($B26,'Cost Library'!$A$2:$M$159,8,FALSE),0)</f>
        <v>0</v>
      </c>
      <c r="P26" s="15">
        <f>IFERROR(VLOOKUP($B26,'Cost Library'!$A$2:$M$159,9,FALSE),0)</f>
        <v>0</v>
      </c>
      <c r="Q26" s="16"/>
      <c r="R26" s="16" t="s">
        <v>116</v>
      </c>
      <c r="S26" s="17">
        <f t="shared" si="0"/>
        <v>0</v>
      </c>
      <c r="T26" s="18">
        <f>'Project Inputs'!$C$15</f>
        <v>0.1</v>
      </c>
      <c r="U26" s="17">
        <f t="shared" si="1"/>
        <v>0</v>
      </c>
      <c r="V26" s="11" t="s">
        <v>247</v>
      </c>
      <c r="W26" s="14" t="str">
        <f>IFERROR(VLOOKUP($B26,'Cost Library'!$A$2:$M$159,10,FALSE),"")</f>
        <v/>
      </c>
      <c r="X26" s="11"/>
      <c r="Y26" s="11"/>
      <c r="Z26" s="11"/>
      <c r="AA26" s="11"/>
      <c r="AB26" s="11"/>
      <c r="AC26" s="11"/>
      <c r="AD26" s="30"/>
      <c r="AE26" s="31"/>
      <c r="AF26" s="3">
        <f t="shared" si="2"/>
        <v>0</v>
      </c>
      <c r="AG26" s="31"/>
      <c r="AH26" s="31"/>
      <c r="AI26" s="3">
        <f t="shared" si="3"/>
        <v>0</v>
      </c>
      <c r="AJ26" s="31"/>
      <c r="AK26" s="31"/>
      <c r="AL26" s="3">
        <f t="shared" si="4"/>
        <v>0</v>
      </c>
      <c r="AM26" s="3">
        <f>IF($A26&lt;&gt;"Yes",0,IF($R26="Detailed Breakdown",$AF26,$S26*IFERROR(VLOOKUP($B26,'Cost Library'!$A$2:$Q$159,14,FALSE),0.4)))</f>
        <v>0</v>
      </c>
      <c r="AN26" s="3">
        <f>IF($A26&lt;&gt;"Yes",0,IF($R26="Detailed Breakdown",$AI26,$S26*IFERROR(VLOOKUP($B26,'Cost Library'!$A$2:$Q$159,15,FALSE),0.5)))</f>
        <v>0</v>
      </c>
      <c r="AO26" s="3">
        <f>IF($A26&lt;&gt;"Yes",0,IF($R26="Detailed Breakdown",$AJ26+$AK26,$S26*IFERROR(VLOOKUP($B26,'Cost Library'!$A$2:$Q$159,16,FALSE),0.1)))</f>
        <v>0</v>
      </c>
      <c r="AP26" s="3">
        <f t="shared" si="5"/>
        <v>0</v>
      </c>
      <c r="AQ26" s="32">
        <f t="shared" si="6"/>
        <v>0</v>
      </c>
      <c r="AR26" s="32">
        <f t="shared" si="7"/>
        <v>0</v>
      </c>
      <c r="AS26" s="32">
        <f t="shared" si="8"/>
        <v>0</v>
      </c>
      <c r="AT26" s="2" t="str">
        <f t="shared" si="9"/>
        <v/>
      </c>
      <c r="AU26" s="31" t="s">
        <v>116</v>
      </c>
      <c r="AV26" s="3">
        <f t="shared" si="10"/>
        <v>0</v>
      </c>
      <c r="AW26" s="3">
        <f t="shared" si="11"/>
        <v>0</v>
      </c>
      <c r="AX26" s="3">
        <f t="shared" si="12"/>
        <v>0</v>
      </c>
      <c r="AY26" s="3">
        <f t="shared" si="13"/>
        <v>0</v>
      </c>
      <c r="AZ26" s="3">
        <f t="shared" si="14"/>
        <v>0</v>
      </c>
      <c r="BA26" s="32">
        <f t="shared" si="15"/>
        <v>0</v>
      </c>
      <c r="BB26" s="2" t="str">
        <f t="shared" si="16"/>
        <v/>
      </c>
    </row>
    <row r="27" spans="1:54" ht="14.4">
      <c r="A27" s="13" t="s">
        <v>161</v>
      </c>
      <c r="B27" s="13"/>
      <c r="C27" s="14" t="str">
        <f>IFERROR(VLOOKUP($B27,'Cost Library'!$A$2:$M$159,2,FALSE),"")</f>
        <v/>
      </c>
      <c r="D27" s="14" t="str">
        <f>IFERROR(VLOOKUP($B27,'Cost Library'!$A$2:$M$159,3,FALSE),"")</f>
        <v/>
      </c>
      <c r="E27" s="13"/>
      <c r="F27" s="13"/>
      <c r="G27" s="13" t="str">
        <f>IFERROR(VLOOKUP($B27,'Cost Library'!$A$2:$M$159,5,FALSE),"")</f>
        <v/>
      </c>
      <c r="H27" s="13"/>
      <c r="I27" s="13"/>
      <c r="J27" s="13"/>
      <c r="K27" s="13"/>
      <c r="L27" s="13">
        <v>1</v>
      </c>
      <c r="M27" s="14" t="str">
        <f>IFERROR(VLOOKUP($B27,'Cost Library'!$A$2:$M$159,6,FALSE),"")</f>
        <v/>
      </c>
      <c r="N27" s="15">
        <f>IFERROR(VLOOKUP($B27,'Cost Library'!$A$2:$M$159,7,FALSE),0)</f>
        <v>0</v>
      </c>
      <c r="O27" s="15">
        <f>IFERROR(VLOOKUP($B27,'Cost Library'!$A$2:$M$159,8,FALSE),0)</f>
        <v>0</v>
      </c>
      <c r="P27" s="15">
        <f>IFERROR(VLOOKUP($B27,'Cost Library'!$A$2:$M$159,9,FALSE),0)</f>
        <v>0</v>
      </c>
      <c r="Q27" s="16"/>
      <c r="R27" s="16" t="s">
        <v>116</v>
      </c>
      <c r="S27" s="17">
        <f t="shared" si="0"/>
        <v>0</v>
      </c>
      <c r="T27" s="18">
        <f>'Project Inputs'!$C$15</f>
        <v>0.1</v>
      </c>
      <c r="U27" s="17">
        <f t="shared" si="1"/>
        <v>0</v>
      </c>
      <c r="V27" s="11" t="s">
        <v>247</v>
      </c>
      <c r="W27" s="14" t="str">
        <f>IFERROR(VLOOKUP($B27,'Cost Library'!$A$2:$M$159,10,FALSE),"")</f>
        <v/>
      </c>
      <c r="X27" s="11"/>
      <c r="Y27" s="11"/>
      <c r="Z27" s="11"/>
      <c r="AA27" s="11"/>
      <c r="AB27" s="11"/>
      <c r="AC27" s="11"/>
      <c r="AD27" s="30"/>
      <c r="AE27" s="31"/>
      <c r="AF27" s="3">
        <f t="shared" si="2"/>
        <v>0</v>
      </c>
      <c r="AG27" s="31"/>
      <c r="AH27" s="31"/>
      <c r="AI27" s="3">
        <f t="shared" si="3"/>
        <v>0</v>
      </c>
      <c r="AJ27" s="31"/>
      <c r="AK27" s="31"/>
      <c r="AL27" s="3">
        <f t="shared" si="4"/>
        <v>0</v>
      </c>
      <c r="AM27" s="3">
        <f>IF($A27&lt;&gt;"Yes",0,IF($R27="Detailed Breakdown",$AF27,$S27*IFERROR(VLOOKUP($B27,'Cost Library'!$A$2:$Q$159,14,FALSE),0.4)))</f>
        <v>0</v>
      </c>
      <c r="AN27" s="3">
        <f>IF($A27&lt;&gt;"Yes",0,IF($R27="Detailed Breakdown",$AI27,$S27*IFERROR(VLOOKUP($B27,'Cost Library'!$A$2:$Q$159,15,FALSE),0.5)))</f>
        <v>0</v>
      </c>
      <c r="AO27" s="3">
        <f>IF($A27&lt;&gt;"Yes",0,IF($R27="Detailed Breakdown",$AJ27+$AK27,$S27*IFERROR(VLOOKUP($B27,'Cost Library'!$A$2:$Q$159,16,FALSE),0.1)))</f>
        <v>0</v>
      </c>
      <c r="AP27" s="3">
        <f t="shared" si="5"/>
        <v>0</v>
      </c>
      <c r="AQ27" s="32">
        <f t="shared" si="6"/>
        <v>0</v>
      </c>
      <c r="AR27" s="32">
        <f t="shared" si="7"/>
        <v>0</v>
      </c>
      <c r="AS27" s="32">
        <f t="shared" si="8"/>
        <v>0</v>
      </c>
      <c r="AT27" s="2" t="str">
        <f t="shared" si="9"/>
        <v/>
      </c>
      <c r="AU27" s="31" t="s">
        <v>116</v>
      </c>
      <c r="AV27" s="3">
        <f t="shared" si="10"/>
        <v>0</v>
      </c>
      <c r="AW27" s="3">
        <f t="shared" si="11"/>
        <v>0</v>
      </c>
      <c r="AX27" s="3">
        <f t="shared" si="12"/>
        <v>0</v>
      </c>
      <c r="AY27" s="3">
        <f t="shared" si="13"/>
        <v>0</v>
      </c>
      <c r="AZ27" s="3">
        <f t="shared" si="14"/>
        <v>0</v>
      </c>
      <c r="BA27" s="32">
        <f t="shared" si="15"/>
        <v>0</v>
      </c>
      <c r="BB27" s="2" t="str">
        <f t="shared" si="16"/>
        <v/>
      </c>
    </row>
    <row r="28" spans="1:54" ht="14.4">
      <c r="A28" s="13" t="s">
        <v>161</v>
      </c>
      <c r="B28" s="13"/>
      <c r="C28" s="14" t="str">
        <f>IFERROR(VLOOKUP($B28,'Cost Library'!$A$2:$M$159,2,FALSE),"")</f>
        <v/>
      </c>
      <c r="D28" s="14" t="str">
        <f>IFERROR(VLOOKUP($B28,'Cost Library'!$A$2:$M$159,3,FALSE),"")</f>
        <v/>
      </c>
      <c r="E28" s="13"/>
      <c r="F28" s="13"/>
      <c r="G28" s="13" t="str">
        <f>IFERROR(VLOOKUP($B28,'Cost Library'!$A$2:$M$159,5,FALSE),"")</f>
        <v/>
      </c>
      <c r="H28" s="13"/>
      <c r="I28" s="13"/>
      <c r="J28" s="13"/>
      <c r="K28" s="13"/>
      <c r="L28" s="13">
        <v>1</v>
      </c>
      <c r="M28" s="14" t="str">
        <f>IFERROR(VLOOKUP($B28,'Cost Library'!$A$2:$M$159,6,FALSE),"")</f>
        <v/>
      </c>
      <c r="N28" s="15">
        <f>IFERROR(VLOOKUP($B28,'Cost Library'!$A$2:$M$159,7,FALSE),0)</f>
        <v>0</v>
      </c>
      <c r="O28" s="15">
        <f>IFERROR(VLOOKUP($B28,'Cost Library'!$A$2:$M$159,8,FALSE),0)</f>
        <v>0</v>
      </c>
      <c r="P28" s="15">
        <f>IFERROR(VLOOKUP($B28,'Cost Library'!$A$2:$M$159,9,FALSE),0)</f>
        <v>0</v>
      </c>
      <c r="Q28" s="16"/>
      <c r="R28" s="16" t="s">
        <v>116</v>
      </c>
      <c r="S28" s="17">
        <f t="shared" si="0"/>
        <v>0</v>
      </c>
      <c r="T28" s="18">
        <f>'Project Inputs'!$C$15</f>
        <v>0.1</v>
      </c>
      <c r="U28" s="17">
        <f t="shared" si="1"/>
        <v>0</v>
      </c>
      <c r="V28" s="11" t="s">
        <v>247</v>
      </c>
      <c r="W28" s="14" t="str">
        <f>IFERROR(VLOOKUP($B28,'Cost Library'!$A$2:$M$159,10,FALSE),"")</f>
        <v/>
      </c>
      <c r="X28" s="11"/>
      <c r="Y28" s="11"/>
      <c r="Z28" s="11"/>
      <c r="AA28" s="11"/>
      <c r="AB28" s="11"/>
      <c r="AC28" s="11"/>
      <c r="AD28" s="30"/>
      <c r="AE28" s="31"/>
      <c r="AF28" s="3">
        <f t="shared" si="2"/>
        <v>0</v>
      </c>
      <c r="AG28" s="31"/>
      <c r="AH28" s="31"/>
      <c r="AI28" s="3">
        <f t="shared" si="3"/>
        <v>0</v>
      </c>
      <c r="AJ28" s="31"/>
      <c r="AK28" s="31"/>
      <c r="AL28" s="3">
        <f t="shared" si="4"/>
        <v>0</v>
      </c>
      <c r="AM28" s="3">
        <f>IF($A28&lt;&gt;"Yes",0,IF($R28="Detailed Breakdown",$AF28,$S28*IFERROR(VLOOKUP($B28,'Cost Library'!$A$2:$Q$159,14,FALSE),0.4)))</f>
        <v>0</v>
      </c>
      <c r="AN28" s="3">
        <f>IF($A28&lt;&gt;"Yes",0,IF($R28="Detailed Breakdown",$AI28,$S28*IFERROR(VLOOKUP($B28,'Cost Library'!$A$2:$Q$159,15,FALSE),0.5)))</f>
        <v>0</v>
      </c>
      <c r="AO28" s="3">
        <f>IF($A28&lt;&gt;"Yes",0,IF($R28="Detailed Breakdown",$AJ28+$AK28,$S28*IFERROR(VLOOKUP($B28,'Cost Library'!$A$2:$Q$159,16,FALSE),0.1)))</f>
        <v>0</v>
      </c>
      <c r="AP28" s="3">
        <f t="shared" si="5"/>
        <v>0</v>
      </c>
      <c r="AQ28" s="32">
        <f t="shared" si="6"/>
        <v>0</v>
      </c>
      <c r="AR28" s="32">
        <f t="shared" si="7"/>
        <v>0</v>
      </c>
      <c r="AS28" s="32">
        <f t="shared" si="8"/>
        <v>0</v>
      </c>
      <c r="AT28" s="2" t="str">
        <f t="shared" si="9"/>
        <v/>
      </c>
      <c r="AU28" s="31" t="s">
        <v>116</v>
      </c>
      <c r="AV28" s="3">
        <f t="shared" si="10"/>
        <v>0</v>
      </c>
      <c r="AW28" s="3">
        <f t="shared" si="11"/>
        <v>0</v>
      </c>
      <c r="AX28" s="3">
        <f t="shared" si="12"/>
        <v>0</v>
      </c>
      <c r="AY28" s="3">
        <f t="shared" si="13"/>
        <v>0</v>
      </c>
      <c r="AZ28" s="3">
        <f t="shared" si="14"/>
        <v>0</v>
      </c>
      <c r="BA28" s="32">
        <f t="shared" si="15"/>
        <v>0</v>
      </c>
      <c r="BB28" s="2" t="str">
        <f t="shared" si="16"/>
        <v/>
      </c>
    </row>
    <row r="29" spans="1:54" ht="14.4">
      <c r="A29" s="13" t="s">
        <v>161</v>
      </c>
      <c r="B29" s="13"/>
      <c r="C29" s="14" t="str">
        <f>IFERROR(VLOOKUP($B29,'Cost Library'!$A$2:$M$159,2,FALSE),"")</f>
        <v/>
      </c>
      <c r="D29" s="14" t="str">
        <f>IFERROR(VLOOKUP($B29,'Cost Library'!$A$2:$M$159,3,FALSE),"")</f>
        <v/>
      </c>
      <c r="E29" s="13"/>
      <c r="F29" s="13"/>
      <c r="G29" s="13" t="str">
        <f>IFERROR(VLOOKUP($B29,'Cost Library'!$A$2:$M$159,5,FALSE),"")</f>
        <v/>
      </c>
      <c r="H29" s="13"/>
      <c r="I29" s="13"/>
      <c r="J29" s="13"/>
      <c r="K29" s="13"/>
      <c r="L29" s="13">
        <v>1</v>
      </c>
      <c r="M29" s="14" t="str">
        <f>IFERROR(VLOOKUP($B29,'Cost Library'!$A$2:$M$159,6,FALSE),"")</f>
        <v/>
      </c>
      <c r="N29" s="15">
        <f>IFERROR(VLOOKUP($B29,'Cost Library'!$A$2:$M$159,7,FALSE),0)</f>
        <v>0</v>
      </c>
      <c r="O29" s="15">
        <f>IFERROR(VLOOKUP($B29,'Cost Library'!$A$2:$M$159,8,FALSE),0)</f>
        <v>0</v>
      </c>
      <c r="P29" s="15">
        <f>IFERROR(VLOOKUP($B29,'Cost Library'!$A$2:$M$159,9,FALSE),0)</f>
        <v>0</v>
      </c>
      <c r="Q29" s="16"/>
      <c r="R29" s="16" t="s">
        <v>116</v>
      </c>
      <c r="S29" s="17">
        <f t="shared" si="0"/>
        <v>0</v>
      </c>
      <c r="T29" s="18">
        <f>'Project Inputs'!$C$15</f>
        <v>0.1</v>
      </c>
      <c r="U29" s="17">
        <f t="shared" si="1"/>
        <v>0</v>
      </c>
      <c r="V29" s="11" t="s">
        <v>247</v>
      </c>
      <c r="W29" s="14" t="str">
        <f>IFERROR(VLOOKUP($B29,'Cost Library'!$A$2:$M$159,10,FALSE),"")</f>
        <v/>
      </c>
      <c r="X29" s="11"/>
      <c r="Y29" s="11"/>
      <c r="Z29" s="11"/>
      <c r="AA29" s="11"/>
      <c r="AB29" s="11"/>
      <c r="AC29" s="11"/>
      <c r="AD29" s="30"/>
      <c r="AE29" s="31"/>
      <c r="AF29" s="3">
        <f t="shared" si="2"/>
        <v>0</v>
      </c>
      <c r="AG29" s="31"/>
      <c r="AH29" s="31"/>
      <c r="AI29" s="3">
        <f t="shared" si="3"/>
        <v>0</v>
      </c>
      <c r="AJ29" s="31"/>
      <c r="AK29" s="31"/>
      <c r="AL29" s="3">
        <f t="shared" si="4"/>
        <v>0</v>
      </c>
      <c r="AM29" s="3">
        <f>IF($A29&lt;&gt;"Yes",0,IF($R29="Detailed Breakdown",$AF29,$S29*IFERROR(VLOOKUP($B29,'Cost Library'!$A$2:$Q$159,14,FALSE),0.4)))</f>
        <v>0</v>
      </c>
      <c r="AN29" s="3">
        <f>IF($A29&lt;&gt;"Yes",0,IF($R29="Detailed Breakdown",$AI29,$S29*IFERROR(VLOOKUP($B29,'Cost Library'!$A$2:$Q$159,15,FALSE),0.5)))</f>
        <v>0</v>
      </c>
      <c r="AO29" s="3">
        <f>IF($A29&lt;&gt;"Yes",0,IF($R29="Detailed Breakdown",$AJ29+$AK29,$S29*IFERROR(VLOOKUP($B29,'Cost Library'!$A$2:$Q$159,16,FALSE),0.1)))</f>
        <v>0</v>
      </c>
      <c r="AP29" s="3">
        <f t="shared" si="5"/>
        <v>0</v>
      </c>
      <c r="AQ29" s="32">
        <f t="shared" si="6"/>
        <v>0</v>
      </c>
      <c r="AR29" s="32">
        <f t="shared" si="7"/>
        <v>0</v>
      </c>
      <c r="AS29" s="32">
        <f t="shared" si="8"/>
        <v>0</v>
      </c>
      <c r="AT29" s="2" t="str">
        <f t="shared" si="9"/>
        <v/>
      </c>
      <c r="AU29" s="31" t="s">
        <v>116</v>
      </c>
      <c r="AV29" s="3">
        <f t="shared" si="10"/>
        <v>0</v>
      </c>
      <c r="AW29" s="3">
        <f t="shared" si="11"/>
        <v>0</v>
      </c>
      <c r="AX29" s="3">
        <f t="shared" si="12"/>
        <v>0</v>
      </c>
      <c r="AY29" s="3">
        <f t="shared" si="13"/>
        <v>0</v>
      </c>
      <c r="AZ29" s="3">
        <f t="shared" si="14"/>
        <v>0</v>
      </c>
      <c r="BA29" s="32">
        <f t="shared" si="15"/>
        <v>0</v>
      </c>
      <c r="BB29" s="2" t="str">
        <f t="shared" si="16"/>
        <v/>
      </c>
    </row>
    <row r="30" spans="1:54" ht="14.4">
      <c r="A30" s="13" t="s">
        <v>161</v>
      </c>
      <c r="B30" s="13"/>
      <c r="C30" s="14" t="str">
        <f>IFERROR(VLOOKUP($B30,'Cost Library'!$A$2:$M$159,2,FALSE),"")</f>
        <v/>
      </c>
      <c r="D30" s="14" t="str">
        <f>IFERROR(VLOOKUP($B30,'Cost Library'!$A$2:$M$159,3,FALSE),"")</f>
        <v/>
      </c>
      <c r="E30" s="13"/>
      <c r="F30" s="13"/>
      <c r="G30" s="13" t="str">
        <f>IFERROR(VLOOKUP($B30,'Cost Library'!$A$2:$M$159,5,FALSE),"")</f>
        <v/>
      </c>
      <c r="H30" s="13"/>
      <c r="I30" s="13"/>
      <c r="J30" s="13"/>
      <c r="K30" s="13"/>
      <c r="L30" s="13">
        <v>1</v>
      </c>
      <c r="M30" s="14" t="str">
        <f>IFERROR(VLOOKUP($B30,'Cost Library'!$A$2:$M$159,6,FALSE),"")</f>
        <v/>
      </c>
      <c r="N30" s="15">
        <f>IFERROR(VLOOKUP($B30,'Cost Library'!$A$2:$M$159,7,FALSE),0)</f>
        <v>0</v>
      </c>
      <c r="O30" s="15">
        <f>IFERROR(VLOOKUP($B30,'Cost Library'!$A$2:$M$159,8,FALSE),0)</f>
        <v>0</v>
      </c>
      <c r="P30" s="15">
        <f>IFERROR(VLOOKUP($B30,'Cost Library'!$A$2:$M$159,9,FALSE),0)</f>
        <v>0</v>
      </c>
      <c r="Q30" s="16"/>
      <c r="R30" s="16" t="s">
        <v>116</v>
      </c>
      <c r="S30" s="17">
        <f t="shared" si="0"/>
        <v>0</v>
      </c>
      <c r="T30" s="18">
        <f>'Project Inputs'!$C$15</f>
        <v>0.1</v>
      </c>
      <c r="U30" s="17">
        <f t="shared" si="1"/>
        <v>0</v>
      </c>
      <c r="V30" s="11" t="s">
        <v>247</v>
      </c>
      <c r="W30" s="14" t="str">
        <f>IFERROR(VLOOKUP($B30,'Cost Library'!$A$2:$M$159,10,FALSE),"")</f>
        <v/>
      </c>
      <c r="X30" s="11"/>
      <c r="Y30" s="11"/>
      <c r="Z30" s="11"/>
      <c r="AA30" s="11"/>
      <c r="AB30" s="11"/>
      <c r="AC30" s="11"/>
      <c r="AD30" s="30"/>
      <c r="AE30" s="31"/>
      <c r="AF30" s="3">
        <f t="shared" si="2"/>
        <v>0</v>
      </c>
      <c r="AG30" s="31"/>
      <c r="AH30" s="31"/>
      <c r="AI30" s="3">
        <f t="shared" si="3"/>
        <v>0</v>
      </c>
      <c r="AJ30" s="31"/>
      <c r="AK30" s="31"/>
      <c r="AL30" s="3">
        <f t="shared" si="4"/>
        <v>0</v>
      </c>
      <c r="AM30" s="3">
        <f>IF($A30&lt;&gt;"Yes",0,IF($R30="Detailed Breakdown",$AF30,$S30*IFERROR(VLOOKUP($B30,'Cost Library'!$A$2:$Q$159,14,FALSE),0.4)))</f>
        <v>0</v>
      </c>
      <c r="AN30" s="3">
        <f>IF($A30&lt;&gt;"Yes",0,IF($R30="Detailed Breakdown",$AI30,$S30*IFERROR(VLOOKUP($B30,'Cost Library'!$A$2:$Q$159,15,FALSE),0.5)))</f>
        <v>0</v>
      </c>
      <c r="AO30" s="3">
        <f>IF($A30&lt;&gt;"Yes",0,IF($R30="Detailed Breakdown",$AJ30+$AK30,$S30*IFERROR(VLOOKUP($B30,'Cost Library'!$A$2:$Q$159,16,FALSE),0.1)))</f>
        <v>0</v>
      </c>
      <c r="AP30" s="3">
        <f t="shared" si="5"/>
        <v>0</v>
      </c>
      <c r="AQ30" s="32">
        <f t="shared" si="6"/>
        <v>0</v>
      </c>
      <c r="AR30" s="32">
        <f t="shared" si="7"/>
        <v>0</v>
      </c>
      <c r="AS30" s="32">
        <f t="shared" si="8"/>
        <v>0</v>
      </c>
      <c r="AT30" s="2" t="str">
        <f t="shared" si="9"/>
        <v/>
      </c>
      <c r="AU30" s="31" t="s">
        <v>116</v>
      </c>
      <c r="AV30" s="3">
        <f t="shared" si="10"/>
        <v>0</v>
      </c>
      <c r="AW30" s="3">
        <f t="shared" si="11"/>
        <v>0</v>
      </c>
      <c r="AX30" s="3">
        <f t="shared" si="12"/>
        <v>0</v>
      </c>
      <c r="AY30" s="3">
        <f t="shared" si="13"/>
        <v>0</v>
      </c>
      <c r="AZ30" s="3">
        <f t="shared" si="14"/>
        <v>0</v>
      </c>
      <c r="BA30" s="32">
        <f t="shared" si="15"/>
        <v>0</v>
      </c>
      <c r="BB30" s="2" t="str">
        <f t="shared" si="16"/>
        <v/>
      </c>
    </row>
    <row r="31" spans="1:54" ht="14.4">
      <c r="A31" s="13" t="s">
        <v>161</v>
      </c>
      <c r="B31" s="13"/>
      <c r="C31" s="14" t="str">
        <f>IFERROR(VLOOKUP($B31,'Cost Library'!$A$2:$M$159,2,FALSE),"")</f>
        <v/>
      </c>
      <c r="D31" s="14" t="str">
        <f>IFERROR(VLOOKUP($B31,'Cost Library'!$A$2:$M$159,3,FALSE),"")</f>
        <v/>
      </c>
      <c r="E31" s="13"/>
      <c r="F31" s="13"/>
      <c r="G31" s="13" t="str">
        <f>IFERROR(VLOOKUP($B31,'Cost Library'!$A$2:$M$159,5,FALSE),"")</f>
        <v/>
      </c>
      <c r="H31" s="13"/>
      <c r="I31" s="13"/>
      <c r="J31" s="13"/>
      <c r="K31" s="13"/>
      <c r="L31" s="13">
        <v>1</v>
      </c>
      <c r="M31" s="14" t="str">
        <f>IFERROR(VLOOKUP($B31,'Cost Library'!$A$2:$M$159,6,FALSE),"")</f>
        <v/>
      </c>
      <c r="N31" s="15">
        <f>IFERROR(VLOOKUP($B31,'Cost Library'!$A$2:$M$159,7,FALSE),0)</f>
        <v>0</v>
      </c>
      <c r="O31" s="15">
        <f>IFERROR(VLOOKUP($B31,'Cost Library'!$A$2:$M$159,8,FALSE),0)</f>
        <v>0</v>
      </c>
      <c r="P31" s="15">
        <f>IFERROR(VLOOKUP($B31,'Cost Library'!$A$2:$M$159,9,FALSE),0)</f>
        <v>0</v>
      </c>
      <c r="Q31" s="16"/>
      <c r="R31" s="16" t="s">
        <v>116</v>
      </c>
      <c r="S31" s="17">
        <f t="shared" si="0"/>
        <v>0</v>
      </c>
      <c r="T31" s="18">
        <f>'Project Inputs'!$C$15</f>
        <v>0.1</v>
      </c>
      <c r="U31" s="17">
        <f t="shared" si="1"/>
        <v>0</v>
      </c>
      <c r="V31" s="11" t="s">
        <v>247</v>
      </c>
      <c r="W31" s="14" t="str">
        <f>IFERROR(VLOOKUP($B31,'Cost Library'!$A$2:$M$159,10,FALSE),"")</f>
        <v/>
      </c>
      <c r="X31" s="11"/>
      <c r="Y31" s="11"/>
      <c r="Z31" s="11"/>
      <c r="AA31" s="11"/>
      <c r="AB31" s="11"/>
      <c r="AC31" s="11"/>
      <c r="AD31" s="30"/>
      <c r="AE31" s="31"/>
      <c r="AF31" s="3">
        <f t="shared" si="2"/>
        <v>0</v>
      </c>
      <c r="AG31" s="31"/>
      <c r="AH31" s="31"/>
      <c r="AI31" s="3">
        <f t="shared" si="3"/>
        <v>0</v>
      </c>
      <c r="AJ31" s="31"/>
      <c r="AK31" s="31"/>
      <c r="AL31" s="3">
        <f t="shared" si="4"/>
        <v>0</v>
      </c>
      <c r="AM31" s="3">
        <f>IF($A31&lt;&gt;"Yes",0,IF($R31="Detailed Breakdown",$AF31,$S31*IFERROR(VLOOKUP($B31,'Cost Library'!$A$2:$Q$159,14,FALSE),0.4)))</f>
        <v>0</v>
      </c>
      <c r="AN31" s="3">
        <f>IF($A31&lt;&gt;"Yes",0,IF($R31="Detailed Breakdown",$AI31,$S31*IFERROR(VLOOKUP($B31,'Cost Library'!$A$2:$Q$159,15,FALSE),0.5)))</f>
        <v>0</v>
      </c>
      <c r="AO31" s="3">
        <f>IF($A31&lt;&gt;"Yes",0,IF($R31="Detailed Breakdown",$AJ31+$AK31,$S31*IFERROR(VLOOKUP($B31,'Cost Library'!$A$2:$Q$159,16,FALSE),0.1)))</f>
        <v>0</v>
      </c>
      <c r="AP31" s="3">
        <f t="shared" si="5"/>
        <v>0</v>
      </c>
      <c r="AQ31" s="32">
        <f t="shared" si="6"/>
        <v>0</v>
      </c>
      <c r="AR31" s="32">
        <f t="shared" si="7"/>
        <v>0</v>
      </c>
      <c r="AS31" s="32">
        <f t="shared" si="8"/>
        <v>0</v>
      </c>
      <c r="AT31" s="2" t="str">
        <f t="shared" si="9"/>
        <v/>
      </c>
      <c r="AU31" s="31" t="s">
        <v>116</v>
      </c>
      <c r="AV31" s="3">
        <f t="shared" si="10"/>
        <v>0</v>
      </c>
      <c r="AW31" s="3">
        <f t="shared" si="11"/>
        <v>0</v>
      </c>
      <c r="AX31" s="3">
        <f t="shared" si="12"/>
        <v>0</v>
      </c>
      <c r="AY31" s="3">
        <f t="shared" si="13"/>
        <v>0</v>
      </c>
      <c r="AZ31" s="3">
        <f t="shared" si="14"/>
        <v>0</v>
      </c>
      <c r="BA31" s="32">
        <f t="shared" si="15"/>
        <v>0</v>
      </c>
      <c r="BB31" s="2" t="str">
        <f t="shared" si="16"/>
        <v/>
      </c>
    </row>
    <row r="32" spans="1:54" ht="14.4">
      <c r="A32" s="13" t="s">
        <v>161</v>
      </c>
      <c r="B32" s="13"/>
      <c r="C32" s="14" t="str">
        <f>IFERROR(VLOOKUP($B32,'Cost Library'!$A$2:$M$159,2,FALSE),"")</f>
        <v/>
      </c>
      <c r="D32" s="14" t="str">
        <f>IFERROR(VLOOKUP($B32,'Cost Library'!$A$2:$M$159,3,FALSE),"")</f>
        <v/>
      </c>
      <c r="E32" s="13"/>
      <c r="F32" s="13"/>
      <c r="G32" s="13" t="str">
        <f>IFERROR(VLOOKUP($B32,'Cost Library'!$A$2:$M$159,5,FALSE),"")</f>
        <v/>
      </c>
      <c r="H32" s="13"/>
      <c r="I32" s="13"/>
      <c r="J32" s="13"/>
      <c r="K32" s="13"/>
      <c r="L32" s="13">
        <v>1</v>
      </c>
      <c r="M32" s="14" t="str">
        <f>IFERROR(VLOOKUP($B32,'Cost Library'!$A$2:$M$159,6,FALSE),"")</f>
        <v/>
      </c>
      <c r="N32" s="15">
        <f>IFERROR(VLOOKUP($B32,'Cost Library'!$A$2:$M$159,7,FALSE),0)</f>
        <v>0</v>
      </c>
      <c r="O32" s="15">
        <f>IFERROR(VLOOKUP($B32,'Cost Library'!$A$2:$M$159,8,FALSE),0)</f>
        <v>0</v>
      </c>
      <c r="P32" s="15">
        <f>IFERROR(VLOOKUP($B32,'Cost Library'!$A$2:$M$159,9,FALSE),0)</f>
        <v>0</v>
      </c>
      <c r="Q32" s="16"/>
      <c r="R32" s="16" t="s">
        <v>116</v>
      </c>
      <c r="S32" s="17">
        <f t="shared" si="0"/>
        <v>0</v>
      </c>
      <c r="T32" s="18">
        <f>'Project Inputs'!$C$15</f>
        <v>0.1</v>
      </c>
      <c r="U32" s="17">
        <f t="shared" si="1"/>
        <v>0</v>
      </c>
      <c r="V32" s="11" t="s">
        <v>247</v>
      </c>
      <c r="W32" s="14" t="str">
        <f>IFERROR(VLOOKUP($B32,'Cost Library'!$A$2:$M$159,10,FALSE),"")</f>
        <v/>
      </c>
      <c r="X32" s="11"/>
      <c r="Y32" s="11"/>
      <c r="Z32" s="11"/>
      <c r="AA32" s="11"/>
      <c r="AB32" s="11"/>
      <c r="AC32" s="11"/>
      <c r="AD32" s="30"/>
      <c r="AE32" s="31"/>
      <c r="AF32" s="3">
        <f t="shared" si="2"/>
        <v>0</v>
      </c>
      <c r="AG32" s="31"/>
      <c r="AH32" s="31"/>
      <c r="AI32" s="3">
        <f t="shared" si="3"/>
        <v>0</v>
      </c>
      <c r="AJ32" s="31"/>
      <c r="AK32" s="31"/>
      <c r="AL32" s="3">
        <f t="shared" si="4"/>
        <v>0</v>
      </c>
      <c r="AM32" s="3">
        <f>IF($A32&lt;&gt;"Yes",0,IF($R32="Detailed Breakdown",$AF32,$S32*IFERROR(VLOOKUP($B32,'Cost Library'!$A$2:$Q$159,14,FALSE),0.4)))</f>
        <v>0</v>
      </c>
      <c r="AN32" s="3">
        <f>IF($A32&lt;&gt;"Yes",0,IF($R32="Detailed Breakdown",$AI32,$S32*IFERROR(VLOOKUP($B32,'Cost Library'!$A$2:$Q$159,15,FALSE),0.5)))</f>
        <v>0</v>
      </c>
      <c r="AO32" s="3">
        <f>IF($A32&lt;&gt;"Yes",0,IF($R32="Detailed Breakdown",$AJ32+$AK32,$S32*IFERROR(VLOOKUP($B32,'Cost Library'!$A$2:$Q$159,16,FALSE),0.1)))</f>
        <v>0</v>
      </c>
      <c r="AP32" s="3">
        <f t="shared" si="5"/>
        <v>0</v>
      </c>
      <c r="AQ32" s="32">
        <f t="shared" si="6"/>
        <v>0</v>
      </c>
      <c r="AR32" s="32">
        <f t="shared" si="7"/>
        <v>0</v>
      </c>
      <c r="AS32" s="32">
        <f t="shared" si="8"/>
        <v>0</v>
      </c>
      <c r="AT32" s="2" t="str">
        <f t="shared" si="9"/>
        <v/>
      </c>
      <c r="AU32" s="31" t="s">
        <v>116</v>
      </c>
      <c r="AV32" s="3">
        <f t="shared" si="10"/>
        <v>0</v>
      </c>
      <c r="AW32" s="3">
        <f t="shared" si="11"/>
        <v>0</v>
      </c>
      <c r="AX32" s="3">
        <f t="shared" si="12"/>
        <v>0</v>
      </c>
      <c r="AY32" s="3">
        <f t="shared" si="13"/>
        <v>0</v>
      </c>
      <c r="AZ32" s="3">
        <f t="shared" si="14"/>
        <v>0</v>
      </c>
      <c r="BA32" s="32">
        <f t="shared" si="15"/>
        <v>0</v>
      </c>
      <c r="BB32" s="2" t="str">
        <f t="shared" si="16"/>
        <v/>
      </c>
    </row>
    <row r="33" spans="1:54" ht="14.4">
      <c r="A33" s="13" t="s">
        <v>161</v>
      </c>
      <c r="B33" s="13"/>
      <c r="C33" s="14" t="str">
        <f>IFERROR(VLOOKUP($B33,'Cost Library'!$A$2:$M$159,2,FALSE),"")</f>
        <v/>
      </c>
      <c r="D33" s="14" t="str">
        <f>IFERROR(VLOOKUP($B33,'Cost Library'!$A$2:$M$159,3,FALSE),"")</f>
        <v/>
      </c>
      <c r="E33" s="13"/>
      <c r="F33" s="13"/>
      <c r="G33" s="13" t="str">
        <f>IFERROR(VLOOKUP($B33,'Cost Library'!$A$2:$M$159,5,FALSE),"")</f>
        <v/>
      </c>
      <c r="H33" s="13"/>
      <c r="I33" s="13"/>
      <c r="J33" s="13"/>
      <c r="K33" s="13"/>
      <c r="L33" s="13">
        <v>1</v>
      </c>
      <c r="M33" s="14" t="str">
        <f>IFERROR(VLOOKUP($B33,'Cost Library'!$A$2:$M$159,6,FALSE),"")</f>
        <v/>
      </c>
      <c r="N33" s="15">
        <f>IFERROR(VLOOKUP($B33,'Cost Library'!$A$2:$M$159,7,FALSE),0)</f>
        <v>0</v>
      </c>
      <c r="O33" s="15">
        <f>IFERROR(VLOOKUP($B33,'Cost Library'!$A$2:$M$159,8,FALSE),0)</f>
        <v>0</v>
      </c>
      <c r="P33" s="15">
        <f>IFERROR(VLOOKUP($B33,'Cost Library'!$A$2:$M$159,9,FALSE),0)</f>
        <v>0</v>
      </c>
      <c r="Q33" s="16"/>
      <c r="R33" s="16" t="s">
        <v>116</v>
      </c>
      <c r="S33" s="17">
        <f t="shared" si="0"/>
        <v>0</v>
      </c>
      <c r="T33" s="18">
        <f>'Project Inputs'!$C$15</f>
        <v>0.1</v>
      </c>
      <c r="U33" s="17">
        <f t="shared" si="1"/>
        <v>0</v>
      </c>
      <c r="V33" s="11" t="s">
        <v>247</v>
      </c>
      <c r="W33" s="14" t="str">
        <f>IFERROR(VLOOKUP($B33,'Cost Library'!$A$2:$M$159,10,FALSE),"")</f>
        <v/>
      </c>
      <c r="X33" s="11"/>
      <c r="Y33" s="11"/>
      <c r="Z33" s="11"/>
      <c r="AA33" s="11"/>
      <c r="AB33" s="11"/>
      <c r="AC33" s="11"/>
      <c r="AD33" s="30"/>
      <c r="AE33" s="31"/>
      <c r="AF33" s="3">
        <f t="shared" si="2"/>
        <v>0</v>
      </c>
      <c r="AG33" s="31"/>
      <c r="AH33" s="31"/>
      <c r="AI33" s="3">
        <f t="shared" si="3"/>
        <v>0</v>
      </c>
      <c r="AJ33" s="31"/>
      <c r="AK33" s="31"/>
      <c r="AL33" s="3">
        <f t="shared" si="4"/>
        <v>0</v>
      </c>
      <c r="AM33" s="3">
        <f>IF($A33&lt;&gt;"Yes",0,IF($R33="Detailed Breakdown",$AF33,$S33*IFERROR(VLOOKUP($B33,'Cost Library'!$A$2:$Q$159,14,FALSE),0.4)))</f>
        <v>0</v>
      </c>
      <c r="AN33" s="3">
        <f>IF($A33&lt;&gt;"Yes",0,IF($R33="Detailed Breakdown",$AI33,$S33*IFERROR(VLOOKUP($B33,'Cost Library'!$A$2:$Q$159,15,FALSE),0.5)))</f>
        <v>0</v>
      </c>
      <c r="AO33" s="3">
        <f>IF($A33&lt;&gt;"Yes",0,IF($R33="Detailed Breakdown",$AJ33+$AK33,$S33*IFERROR(VLOOKUP($B33,'Cost Library'!$A$2:$Q$159,16,FALSE),0.1)))</f>
        <v>0</v>
      </c>
      <c r="AP33" s="3">
        <f t="shared" si="5"/>
        <v>0</v>
      </c>
      <c r="AQ33" s="32">
        <f t="shared" si="6"/>
        <v>0</v>
      </c>
      <c r="AR33" s="32">
        <f t="shared" si="7"/>
        <v>0</v>
      </c>
      <c r="AS33" s="32">
        <f t="shared" si="8"/>
        <v>0</v>
      </c>
      <c r="AT33" s="2" t="str">
        <f t="shared" si="9"/>
        <v/>
      </c>
      <c r="AU33" s="31" t="s">
        <v>116</v>
      </c>
      <c r="AV33" s="3">
        <f t="shared" si="10"/>
        <v>0</v>
      </c>
      <c r="AW33" s="3">
        <f t="shared" si="11"/>
        <v>0</v>
      </c>
      <c r="AX33" s="3">
        <f t="shared" si="12"/>
        <v>0</v>
      </c>
      <c r="AY33" s="3">
        <f t="shared" si="13"/>
        <v>0</v>
      </c>
      <c r="AZ33" s="3">
        <f t="shared" si="14"/>
        <v>0</v>
      </c>
      <c r="BA33" s="32">
        <f t="shared" si="15"/>
        <v>0</v>
      </c>
      <c r="BB33" s="2" t="str">
        <f t="shared" si="16"/>
        <v/>
      </c>
    </row>
    <row r="34" spans="1:54" ht="14.4">
      <c r="A34" s="13" t="s">
        <v>161</v>
      </c>
      <c r="B34" s="13"/>
      <c r="C34" s="14" t="str">
        <f>IFERROR(VLOOKUP($B34,'Cost Library'!$A$2:$M$159,2,FALSE),"")</f>
        <v/>
      </c>
      <c r="D34" s="14" t="str">
        <f>IFERROR(VLOOKUP($B34,'Cost Library'!$A$2:$M$159,3,FALSE),"")</f>
        <v/>
      </c>
      <c r="E34" s="13"/>
      <c r="F34" s="13"/>
      <c r="G34" s="13" t="str">
        <f>IFERROR(VLOOKUP($B34,'Cost Library'!$A$2:$M$159,5,FALSE),"")</f>
        <v/>
      </c>
      <c r="H34" s="13"/>
      <c r="I34" s="13"/>
      <c r="J34" s="13"/>
      <c r="K34" s="13"/>
      <c r="L34" s="13">
        <v>1</v>
      </c>
      <c r="M34" s="14" t="str">
        <f>IFERROR(VLOOKUP($B34,'Cost Library'!$A$2:$M$159,6,FALSE),"")</f>
        <v/>
      </c>
      <c r="N34" s="15">
        <f>IFERROR(VLOOKUP($B34,'Cost Library'!$A$2:$M$159,7,FALSE),0)</f>
        <v>0</v>
      </c>
      <c r="O34" s="15">
        <f>IFERROR(VLOOKUP($B34,'Cost Library'!$A$2:$M$159,8,FALSE),0)</f>
        <v>0</v>
      </c>
      <c r="P34" s="15">
        <f>IFERROR(VLOOKUP($B34,'Cost Library'!$A$2:$M$159,9,FALSE),0)</f>
        <v>0</v>
      </c>
      <c r="Q34" s="16"/>
      <c r="R34" s="16" t="s">
        <v>116</v>
      </c>
      <c r="S34" s="17">
        <f t="shared" si="0"/>
        <v>0</v>
      </c>
      <c r="T34" s="18">
        <f>'Project Inputs'!$C$15</f>
        <v>0.1</v>
      </c>
      <c r="U34" s="17">
        <f t="shared" si="1"/>
        <v>0</v>
      </c>
      <c r="V34" s="11" t="s">
        <v>247</v>
      </c>
      <c r="W34" s="14" t="str">
        <f>IFERROR(VLOOKUP($B34,'Cost Library'!$A$2:$M$159,10,FALSE),"")</f>
        <v/>
      </c>
      <c r="X34" s="11"/>
      <c r="Y34" s="11"/>
      <c r="Z34" s="11"/>
      <c r="AA34" s="11"/>
      <c r="AB34" s="11"/>
      <c r="AC34" s="11"/>
      <c r="AD34" s="30"/>
      <c r="AE34" s="31"/>
      <c r="AF34" s="3">
        <f t="shared" si="2"/>
        <v>0</v>
      </c>
      <c r="AG34" s="31"/>
      <c r="AH34" s="31"/>
      <c r="AI34" s="3">
        <f t="shared" si="3"/>
        <v>0</v>
      </c>
      <c r="AJ34" s="31"/>
      <c r="AK34" s="31"/>
      <c r="AL34" s="3">
        <f t="shared" si="4"/>
        <v>0</v>
      </c>
      <c r="AM34" s="3">
        <f>IF($A34&lt;&gt;"Yes",0,IF($R34="Detailed Breakdown",$AF34,$S34*IFERROR(VLOOKUP($B34,'Cost Library'!$A$2:$Q$159,14,FALSE),0.4)))</f>
        <v>0</v>
      </c>
      <c r="AN34" s="3">
        <f>IF($A34&lt;&gt;"Yes",0,IF($R34="Detailed Breakdown",$AI34,$S34*IFERROR(VLOOKUP($B34,'Cost Library'!$A$2:$Q$159,15,FALSE),0.5)))</f>
        <v>0</v>
      </c>
      <c r="AO34" s="3">
        <f>IF($A34&lt;&gt;"Yes",0,IF($R34="Detailed Breakdown",$AJ34+$AK34,$S34*IFERROR(VLOOKUP($B34,'Cost Library'!$A$2:$Q$159,16,FALSE),0.1)))</f>
        <v>0</v>
      </c>
      <c r="AP34" s="3">
        <f t="shared" si="5"/>
        <v>0</v>
      </c>
      <c r="AQ34" s="32">
        <f t="shared" si="6"/>
        <v>0</v>
      </c>
      <c r="AR34" s="32">
        <f t="shared" si="7"/>
        <v>0</v>
      </c>
      <c r="AS34" s="32">
        <f t="shared" si="8"/>
        <v>0</v>
      </c>
      <c r="AT34" s="2" t="str">
        <f t="shared" si="9"/>
        <v/>
      </c>
      <c r="AU34" s="31" t="s">
        <v>116</v>
      </c>
      <c r="AV34" s="3">
        <f t="shared" si="10"/>
        <v>0</v>
      </c>
      <c r="AW34" s="3">
        <f t="shared" si="11"/>
        <v>0</v>
      </c>
      <c r="AX34" s="3">
        <f t="shared" si="12"/>
        <v>0</v>
      </c>
      <c r="AY34" s="3">
        <f t="shared" si="13"/>
        <v>0</v>
      </c>
      <c r="AZ34" s="3">
        <f t="shared" si="14"/>
        <v>0</v>
      </c>
      <c r="BA34" s="32">
        <f t="shared" si="15"/>
        <v>0</v>
      </c>
      <c r="BB34" s="2" t="str">
        <f t="shared" si="16"/>
        <v/>
      </c>
    </row>
    <row r="35" spans="1:54" ht="14.4">
      <c r="A35" s="13" t="s">
        <v>161</v>
      </c>
      <c r="B35" s="13"/>
      <c r="C35" s="14" t="str">
        <f>IFERROR(VLOOKUP($B35,'Cost Library'!$A$2:$M$159,2,FALSE),"")</f>
        <v/>
      </c>
      <c r="D35" s="14" t="str">
        <f>IFERROR(VLOOKUP($B35,'Cost Library'!$A$2:$M$159,3,FALSE),"")</f>
        <v/>
      </c>
      <c r="E35" s="13"/>
      <c r="F35" s="13"/>
      <c r="G35" s="13" t="str">
        <f>IFERROR(VLOOKUP($B35,'Cost Library'!$A$2:$M$159,5,FALSE),"")</f>
        <v/>
      </c>
      <c r="H35" s="13"/>
      <c r="I35" s="13"/>
      <c r="J35" s="13"/>
      <c r="K35" s="13"/>
      <c r="L35" s="13">
        <v>1</v>
      </c>
      <c r="M35" s="14" t="str">
        <f>IFERROR(VLOOKUP($B35,'Cost Library'!$A$2:$M$159,6,FALSE),"")</f>
        <v/>
      </c>
      <c r="N35" s="15">
        <f>IFERROR(VLOOKUP($B35,'Cost Library'!$A$2:$M$159,7,FALSE),0)</f>
        <v>0</v>
      </c>
      <c r="O35" s="15">
        <f>IFERROR(VLOOKUP($B35,'Cost Library'!$A$2:$M$159,8,FALSE),0)</f>
        <v>0</v>
      </c>
      <c r="P35" s="15">
        <f>IFERROR(VLOOKUP($B35,'Cost Library'!$A$2:$M$159,9,FALSE),0)</f>
        <v>0</v>
      </c>
      <c r="Q35" s="16"/>
      <c r="R35" s="16" t="s">
        <v>116</v>
      </c>
      <c r="S35" s="17">
        <f t="shared" si="0"/>
        <v>0</v>
      </c>
      <c r="T35" s="18">
        <f>'Project Inputs'!$C$15</f>
        <v>0.1</v>
      </c>
      <c r="U35" s="17">
        <f t="shared" si="1"/>
        <v>0</v>
      </c>
      <c r="V35" s="11" t="s">
        <v>247</v>
      </c>
      <c r="W35" s="14" t="str">
        <f>IFERROR(VLOOKUP($B35,'Cost Library'!$A$2:$M$159,10,FALSE),"")</f>
        <v/>
      </c>
      <c r="X35" s="11"/>
      <c r="Y35" s="11"/>
      <c r="Z35" s="11"/>
      <c r="AA35" s="11"/>
      <c r="AB35" s="11"/>
      <c r="AC35" s="11"/>
      <c r="AD35" s="30"/>
      <c r="AE35" s="31"/>
      <c r="AF35" s="3">
        <f t="shared" si="2"/>
        <v>0</v>
      </c>
      <c r="AG35" s="31"/>
      <c r="AH35" s="31"/>
      <c r="AI35" s="3">
        <f t="shared" si="3"/>
        <v>0</v>
      </c>
      <c r="AJ35" s="31"/>
      <c r="AK35" s="31"/>
      <c r="AL35" s="3">
        <f t="shared" si="4"/>
        <v>0</v>
      </c>
      <c r="AM35" s="3">
        <f>IF($A35&lt;&gt;"Yes",0,IF($R35="Detailed Breakdown",$AF35,$S35*IFERROR(VLOOKUP($B35,'Cost Library'!$A$2:$Q$159,14,FALSE),0.4)))</f>
        <v>0</v>
      </c>
      <c r="AN35" s="3">
        <f>IF($A35&lt;&gt;"Yes",0,IF($R35="Detailed Breakdown",$AI35,$S35*IFERROR(VLOOKUP($B35,'Cost Library'!$A$2:$Q$159,15,FALSE),0.5)))</f>
        <v>0</v>
      </c>
      <c r="AO35" s="3">
        <f>IF($A35&lt;&gt;"Yes",0,IF($R35="Detailed Breakdown",$AJ35+$AK35,$S35*IFERROR(VLOOKUP($B35,'Cost Library'!$A$2:$Q$159,16,FALSE),0.1)))</f>
        <v>0</v>
      </c>
      <c r="AP35" s="3">
        <f t="shared" si="5"/>
        <v>0</v>
      </c>
      <c r="AQ35" s="32">
        <f t="shared" si="6"/>
        <v>0</v>
      </c>
      <c r="AR35" s="32">
        <f t="shared" si="7"/>
        <v>0</v>
      </c>
      <c r="AS35" s="32">
        <f t="shared" si="8"/>
        <v>0</v>
      </c>
      <c r="AT35" s="2" t="str">
        <f t="shared" si="9"/>
        <v/>
      </c>
      <c r="AU35" s="31" t="s">
        <v>116</v>
      </c>
      <c r="AV35" s="3">
        <f t="shared" si="10"/>
        <v>0</v>
      </c>
      <c r="AW35" s="3">
        <f t="shared" si="11"/>
        <v>0</v>
      </c>
      <c r="AX35" s="3">
        <f t="shared" si="12"/>
        <v>0</v>
      </c>
      <c r="AY35" s="3">
        <f t="shared" si="13"/>
        <v>0</v>
      </c>
      <c r="AZ35" s="3">
        <f t="shared" si="14"/>
        <v>0</v>
      </c>
      <c r="BA35" s="32">
        <f t="shared" si="15"/>
        <v>0</v>
      </c>
      <c r="BB35" s="2" t="str">
        <f t="shared" si="16"/>
        <v/>
      </c>
    </row>
    <row r="36" spans="1:54" ht="14.4">
      <c r="A36" s="13" t="s">
        <v>161</v>
      </c>
      <c r="B36" s="13"/>
      <c r="C36" s="14" t="str">
        <f>IFERROR(VLOOKUP($B36,'Cost Library'!$A$2:$M$159,2,FALSE),"")</f>
        <v/>
      </c>
      <c r="D36" s="14" t="str">
        <f>IFERROR(VLOOKUP($B36,'Cost Library'!$A$2:$M$159,3,FALSE),"")</f>
        <v/>
      </c>
      <c r="E36" s="13"/>
      <c r="F36" s="13"/>
      <c r="G36" s="13" t="str">
        <f>IFERROR(VLOOKUP($B36,'Cost Library'!$A$2:$M$159,5,FALSE),"")</f>
        <v/>
      </c>
      <c r="H36" s="13"/>
      <c r="I36" s="13"/>
      <c r="J36" s="13"/>
      <c r="K36" s="13"/>
      <c r="L36" s="13">
        <v>1</v>
      </c>
      <c r="M36" s="14" t="str">
        <f>IFERROR(VLOOKUP($B36,'Cost Library'!$A$2:$M$159,6,FALSE),"")</f>
        <v/>
      </c>
      <c r="N36" s="15">
        <f>IFERROR(VLOOKUP($B36,'Cost Library'!$A$2:$M$159,7,FALSE),0)</f>
        <v>0</v>
      </c>
      <c r="O36" s="15">
        <f>IFERROR(VLOOKUP($B36,'Cost Library'!$A$2:$M$159,8,FALSE),0)</f>
        <v>0</v>
      </c>
      <c r="P36" s="15">
        <f>IFERROR(VLOOKUP($B36,'Cost Library'!$A$2:$M$159,9,FALSE),0)</f>
        <v>0</v>
      </c>
      <c r="Q36" s="16"/>
      <c r="R36" s="16" t="s">
        <v>116</v>
      </c>
      <c r="S36" s="17">
        <f t="shared" si="0"/>
        <v>0</v>
      </c>
      <c r="T36" s="18">
        <f>'Project Inputs'!$C$15</f>
        <v>0.1</v>
      </c>
      <c r="U36" s="17">
        <f t="shared" si="1"/>
        <v>0</v>
      </c>
      <c r="V36" s="11" t="s">
        <v>247</v>
      </c>
      <c r="W36" s="14" t="str">
        <f>IFERROR(VLOOKUP($B36,'Cost Library'!$A$2:$M$159,10,FALSE),"")</f>
        <v/>
      </c>
      <c r="X36" s="11"/>
      <c r="Y36" s="11"/>
      <c r="Z36" s="11"/>
      <c r="AA36" s="11"/>
      <c r="AB36" s="11"/>
      <c r="AC36" s="11"/>
      <c r="AD36" s="30"/>
      <c r="AE36" s="31"/>
      <c r="AF36" s="3">
        <f t="shared" si="2"/>
        <v>0</v>
      </c>
      <c r="AG36" s="31"/>
      <c r="AH36" s="31"/>
      <c r="AI36" s="3">
        <f t="shared" si="3"/>
        <v>0</v>
      </c>
      <c r="AJ36" s="31"/>
      <c r="AK36" s="31"/>
      <c r="AL36" s="3">
        <f t="shared" si="4"/>
        <v>0</v>
      </c>
      <c r="AM36" s="3">
        <f>IF($A36&lt;&gt;"Yes",0,IF($R36="Detailed Breakdown",$AF36,$S36*IFERROR(VLOOKUP($B36,'Cost Library'!$A$2:$Q$159,14,FALSE),0.4)))</f>
        <v>0</v>
      </c>
      <c r="AN36" s="3">
        <f>IF($A36&lt;&gt;"Yes",0,IF($R36="Detailed Breakdown",$AI36,$S36*IFERROR(VLOOKUP($B36,'Cost Library'!$A$2:$Q$159,15,FALSE),0.5)))</f>
        <v>0</v>
      </c>
      <c r="AO36" s="3">
        <f>IF($A36&lt;&gt;"Yes",0,IF($R36="Detailed Breakdown",$AJ36+$AK36,$S36*IFERROR(VLOOKUP($B36,'Cost Library'!$A$2:$Q$159,16,FALSE),0.1)))</f>
        <v>0</v>
      </c>
      <c r="AP36" s="3">
        <f t="shared" si="5"/>
        <v>0</v>
      </c>
      <c r="AQ36" s="32">
        <f t="shared" si="6"/>
        <v>0</v>
      </c>
      <c r="AR36" s="32">
        <f t="shared" si="7"/>
        <v>0</v>
      </c>
      <c r="AS36" s="32">
        <f t="shared" si="8"/>
        <v>0</v>
      </c>
      <c r="AT36" s="2" t="str">
        <f t="shared" si="9"/>
        <v/>
      </c>
      <c r="AU36" s="31" t="s">
        <v>116</v>
      </c>
      <c r="AV36" s="3">
        <f t="shared" si="10"/>
        <v>0</v>
      </c>
      <c r="AW36" s="3">
        <f t="shared" si="11"/>
        <v>0</v>
      </c>
      <c r="AX36" s="3">
        <f t="shared" si="12"/>
        <v>0</v>
      </c>
      <c r="AY36" s="3">
        <f t="shared" si="13"/>
        <v>0</v>
      </c>
      <c r="AZ36" s="3">
        <f t="shared" si="14"/>
        <v>0</v>
      </c>
      <c r="BA36" s="32">
        <f t="shared" si="15"/>
        <v>0</v>
      </c>
      <c r="BB36" s="2" t="str">
        <f t="shared" si="16"/>
        <v/>
      </c>
    </row>
    <row r="37" spans="1:54" ht="14.4">
      <c r="A37" s="13" t="s">
        <v>161</v>
      </c>
      <c r="B37" s="13"/>
      <c r="C37" s="14" t="str">
        <f>IFERROR(VLOOKUP($B37,'Cost Library'!$A$2:$M$159,2,FALSE),"")</f>
        <v/>
      </c>
      <c r="D37" s="14" t="str">
        <f>IFERROR(VLOOKUP($B37,'Cost Library'!$A$2:$M$159,3,FALSE),"")</f>
        <v/>
      </c>
      <c r="E37" s="13"/>
      <c r="F37" s="13"/>
      <c r="G37" s="13" t="str">
        <f>IFERROR(VLOOKUP($B37,'Cost Library'!$A$2:$M$159,5,FALSE),"")</f>
        <v/>
      </c>
      <c r="H37" s="13"/>
      <c r="I37" s="13"/>
      <c r="J37" s="13"/>
      <c r="K37" s="13"/>
      <c r="L37" s="13">
        <v>1</v>
      </c>
      <c r="M37" s="14" t="str">
        <f>IFERROR(VLOOKUP($B37,'Cost Library'!$A$2:$M$159,6,FALSE),"")</f>
        <v/>
      </c>
      <c r="N37" s="15">
        <f>IFERROR(VLOOKUP($B37,'Cost Library'!$A$2:$M$159,7,FALSE),0)</f>
        <v>0</v>
      </c>
      <c r="O37" s="15">
        <f>IFERROR(VLOOKUP($B37,'Cost Library'!$A$2:$M$159,8,FALSE),0)</f>
        <v>0</v>
      </c>
      <c r="P37" s="15">
        <f>IFERROR(VLOOKUP($B37,'Cost Library'!$A$2:$M$159,9,FALSE),0)</f>
        <v>0</v>
      </c>
      <c r="Q37" s="16"/>
      <c r="R37" s="16" t="s">
        <v>116</v>
      </c>
      <c r="S37" s="17">
        <f t="shared" si="0"/>
        <v>0</v>
      </c>
      <c r="T37" s="18">
        <f>'Project Inputs'!$C$15</f>
        <v>0.1</v>
      </c>
      <c r="U37" s="17">
        <f t="shared" si="1"/>
        <v>0</v>
      </c>
      <c r="V37" s="11" t="s">
        <v>247</v>
      </c>
      <c r="W37" s="14" t="str">
        <f>IFERROR(VLOOKUP($B37,'Cost Library'!$A$2:$M$159,10,FALSE),"")</f>
        <v/>
      </c>
      <c r="X37" s="11"/>
      <c r="Y37" s="11"/>
      <c r="Z37" s="11"/>
      <c r="AA37" s="11"/>
      <c r="AB37" s="11"/>
      <c r="AC37" s="11"/>
      <c r="AD37" s="30"/>
      <c r="AE37" s="31"/>
      <c r="AF37" s="3">
        <f t="shared" si="2"/>
        <v>0</v>
      </c>
      <c r="AG37" s="31"/>
      <c r="AH37" s="31"/>
      <c r="AI37" s="3">
        <f t="shared" si="3"/>
        <v>0</v>
      </c>
      <c r="AJ37" s="31"/>
      <c r="AK37" s="31"/>
      <c r="AL37" s="3">
        <f t="shared" si="4"/>
        <v>0</v>
      </c>
      <c r="AM37" s="3">
        <f>IF($A37&lt;&gt;"Yes",0,IF($R37="Detailed Breakdown",$AF37,$S37*IFERROR(VLOOKUP($B37,'Cost Library'!$A$2:$Q$159,14,FALSE),0.4)))</f>
        <v>0</v>
      </c>
      <c r="AN37" s="3">
        <f>IF($A37&lt;&gt;"Yes",0,IF($R37="Detailed Breakdown",$AI37,$S37*IFERROR(VLOOKUP($B37,'Cost Library'!$A$2:$Q$159,15,FALSE),0.5)))</f>
        <v>0</v>
      </c>
      <c r="AO37" s="3">
        <f>IF($A37&lt;&gt;"Yes",0,IF($R37="Detailed Breakdown",$AJ37+$AK37,$S37*IFERROR(VLOOKUP($B37,'Cost Library'!$A$2:$Q$159,16,FALSE),0.1)))</f>
        <v>0</v>
      </c>
      <c r="AP37" s="3">
        <f t="shared" si="5"/>
        <v>0</v>
      </c>
      <c r="AQ37" s="32">
        <f t="shared" si="6"/>
        <v>0</v>
      </c>
      <c r="AR37" s="32">
        <f t="shared" si="7"/>
        <v>0</v>
      </c>
      <c r="AS37" s="32">
        <f t="shared" si="8"/>
        <v>0</v>
      </c>
      <c r="AT37" s="2" t="str">
        <f t="shared" si="9"/>
        <v/>
      </c>
      <c r="AU37" s="31" t="s">
        <v>116</v>
      </c>
      <c r="AV37" s="3">
        <f t="shared" si="10"/>
        <v>0</v>
      </c>
      <c r="AW37" s="3">
        <f t="shared" si="11"/>
        <v>0</v>
      </c>
      <c r="AX37" s="3">
        <f t="shared" si="12"/>
        <v>0</v>
      </c>
      <c r="AY37" s="3">
        <f t="shared" si="13"/>
        <v>0</v>
      </c>
      <c r="AZ37" s="3">
        <f t="shared" si="14"/>
        <v>0</v>
      </c>
      <c r="BA37" s="32">
        <f t="shared" si="15"/>
        <v>0</v>
      </c>
      <c r="BB37" s="2" t="str">
        <f t="shared" si="16"/>
        <v/>
      </c>
    </row>
    <row r="38" spans="1:54" ht="14.4">
      <c r="A38" s="13" t="s">
        <v>161</v>
      </c>
      <c r="B38" s="13"/>
      <c r="C38" s="14" t="str">
        <f>IFERROR(VLOOKUP($B38,'Cost Library'!$A$2:$M$159,2,FALSE),"")</f>
        <v/>
      </c>
      <c r="D38" s="14" t="str">
        <f>IFERROR(VLOOKUP($B38,'Cost Library'!$A$2:$M$159,3,FALSE),"")</f>
        <v/>
      </c>
      <c r="E38" s="13"/>
      <c r="F38" s="13"/>
      <c r="G38" s="13" t="str">
        <f>IFERROR(VLOOKUP($B38,'Cost Library'!$A$2:$M$159,5,FALSE),"")</f>
        <v/>
      </c>
      <c r="H38" s="13"/>
      <c r="I38" s="13"/>
      <c r="J38" s="13"/>
      <c r="K38" s="13"/>
      <c r="L38" s="13">
        <v>1</v>
      </c>
      <c r="M38" s="14" t="str">
        <f>IFERROR(VLOOKUP($B38,'Cost Library'!$A$2:$M$159,6,FALSE),"")</f>
        <v/>
      </c>
      <c r="N38" s="15">
        <f>IFERROR(VLOOKUP($B38,'Cost Library'!$A$2:$M$159,7,FALSE),0)</f>
        <v>0</v>
      </c>
      <c r="O38" s="15">
        <f>IFERROR(VLOOKUP($B38,'Cost Library'!$A$2:$M$159,8,FALSE),0)</f>
        <v>0</v>
      </c>
      <c r="P38" s="15">
        <f>IFERROR(VLOOKUP($B38,'Cost Library'!$A$2:$M$159,9,FALSE),0)</f>
        <v>0</v>
      </c>
      <c r="Q38" s="16"/>
      <c r="R38" s="16" t="s">
        <v>116</v>
      </c>
      <c r="S38" s="17">
        <f t="shared" si="0"/>
        <v>0</v>
      </c>
      <c r="T38" s="18">
        <f>'Project Inputs'!$C$15</f>
        <v>0.1</v>
      </c>
      <c r="U38" s="17">
        <f t="shared" si="1"/>
        <v>0</v>
      </c>
      <c r="V38" s="11" t="s">
        <v>247</v>
      </c>
      <c r="W38" s="14" t="str">
        <f>IFERROR(VLOOKUP($B38,'Cost Library'!$A$2:$M$159,10,FALSE),"")</f>
        <v/>
      </c>
      <c r="X38" s="11"/>
      <c r="Y38" s="11"/>
      <c r="Z38" s="11"/>
      <c r="AA38" s="11"/>
      <c r="AB38" s="11"/>
      <c r="AC38" s="11"/>
      <c r="AD38" s="30"/>
      <c r="AE38" s="31"/>
      <c r="AF38" s="3">
        <f t="shared" si="2"/>
        <v>0</v>
      </c>
      <c r="AG38" s="31"/>
      <c r="AH38" s="31"/>
      <c r="AI38" s="3">
        <f t="shared" si="3"/>
        <v>0</v>
      </c>
      <c r="AJ38" s="31"/>
      <c r="AK38" s="31"/>
      <c r="AL38" s="3">
        <f t="shared" si="4"/>
        <v>0</v>
      </c>
      <c r="AM38" s="3">
        <f>IF($A38&lt;&gt;"Yes",0,IF($R38="Detailed Breakdown",$AF38,$S38*IFERROR(VLOOKUP($B38,'Cost Library'!$A$2:$Q$159,14,FALSE),0.4)))</f>
        <v>0</v>
      </c>
      <c r="AN38" s="3">
        <f>IF($A38&lt;&gt;"Yes",0,IF($R38="Detailed Breakdown",$AI38,$S38*IFERROR(VLOOKUP($B38,'Cost Library'!$A$2:$Q$159,15,FALSE),0.5)))</f>
        <v>0</v>
      </c>
      <c r="AO38" s="3">
        <f>IF($A38&lt;&gt;"Yes",0,IF($R38="Detailed Breakdown",$AJ38+$AK38,$S38*IFERROR(VLOOKUP($B38,'Cost Library'!$A$2:$Q$159,16,FALSE),0.1)))</f>
        <v>0</v>
      </c>
      <c r="AP38" s="3">
        <f t="shared" si="5"/>
        <v>0</v>
      </c>
      <c r="AQ38" s="32">
        <f t="shared" si="6"/>
        <v>0</v>
      </c>
      <c r="AR38" s="32">
        <f t="shared" si="7"/>
        <v>0</v>
      </c>
      <c r="AS38" s="32">
        <f t="shared" si="8"/>
        <v>0</v>
      </c>
      <c r="AT38" s="2" t="str">
        <f t="shared" si="9"/>
        <v/>
      </c>
      <c r="AU38" s="31" t="s">
        <v>116</v>
      </c>
      <c r="AV38" s="3">
        <f t="shared" si="10"/>
        <v>0</v>
      </c>
      <c r="AW38" s="3">
        <f t="shared" si="11"/>
        <v>0</v>
      </c>
      <c r="AX38" s="3">
        <f t="shared" si="12"/>
        <v>0</v>
      </c>
      <c r="AY38" s="3">
        <f t="shared" si="13"/>
        <v>0</v>
      </c>
      <c r="AZ38" s="3">
        <f t="shared" si="14"/>
        <v>0</v>
      </c>
      <c r="BA38" s="32">
        <f t="shared" si="15"/>
        <v>0</v>
      </c>
      <c r="BB38" s="2" t="str">
        <f t="shared" si="16"/>
        <v/>
      </c>
    </row>
    <row r="39" spans="1:54" ht="14.4">
      <c r="A39" s="13" t="s">
        <v>161</v>
      </c>
      <c r="B39" s="13"/>
      <c r="C39" s="14" t="str">
        <f>IFERROR(VLOOKUP($B39,'Cost Library'!$A$2:$M$159,2,FALSE),"")</f>
        <v/>
      </c>
      <c r="D39" s="14" t="str">
        <f>IFERROR(VLOOKUP($B39,'Cost Library'!$A$2:$M$159,3,FALSE),"")</f>
        <v/>
      </c>
      <c r="E39" s="13"/>
      <c r="F39" s="13"/>
      <c r="G39" s="13" t="str">
        <f>IFERROR(VLOOKUP($B39,'Cost Library'!$A$2:$M$159,5,FALSE),"")</f>
        <v/>
      </c>
      <c r="H39" s="13"/>
      <c r="I39" s="13"/>
      <c r="J39" s="13"/>
      <c r="K39" s="13"/>
      <c r="L39" s="13">
        <v>1</v>
      </c>
      <c r="M39" s="14" t="str">
        <f>IFERROR(VLOOKUP($B39,'Cost Library'!$A$2:$M$159,6,FALSE),"")</f>
        <v/>
      </c>
      <c r="N39" s="15">
        <f>IFERROR(VLOOKUP($B39,'Cost Library'!$A$2:$M$159,7,FALSE),0)</f>
        <v>0</v>
      </c>
      <c r="O39" s="15">
        <f>IFERROR(VLOOKUP($B39,'Cost Library'!$A$2:$M$159,8,FALSE),0)</f>
        <v>0</v>
      </c>
      <c r="P39" s="15">
        <f>IFERROR(VLOOKUP($B39,'Cost Library'!$A$2:$M$159,9,FALSE),0)</f>
        <v>0</v>
      </c>
      <c r="Q39" s="16"/>
      <c r="R39" s="16" t="s">
        <v>116</v>
      </c>
      <c r="S39" s="17">
        <f t="shared" si="0"/>
        <v>0</v>
      </c>
      <c r="T39" s="18">
        <f>'Project Inputs'!$C$15</f>
        <v>0.1</v>
      </c>
      <c r="U39" s="17">
        <f t="shared" si="1"/>
        <v>0</v>
      </c>
      <c r="V39" s="11" t="s">
        <v>247</v>
      </c>
      <c r="W39" s="14" t="str">
        <f>IFERROR(VLOOKUP($B39,'Cost Library'!$A$2:$M$159,10,FALSE),"")</f>
        <v/>
      </c>
      <c r="X39" s="11"/>
      <c r="Y39" s="11"/>
      <c r="Z39" s="11"/>
      <c r="AA39" s="11"/>
      <c r="AB39" s="11"/>
      <c r="AC39" s="11"/>
      <c r="AD39" s="30"/>
      <c r="AE39" s="31"/>
      <c r="AF39" s="3">
        <f t="shared" si="2"/>
        <v>0</v>
      </c>
      <c r="AG39" s="31"/>
      <c r="AH39" s="31"/>
      <c r="AI39" s="3">
        <f t="shared" si="3"/>
        <v>0</v>
      </c>
      <c r="AJ39" s="31"/>
      <c r="AK39" s="31"/>
      <c r="AL39" s="3">
        <f t="shared" si="4"/>
        <v>0</v>
      </c>
      <c r="AM39" s="3">
        <f>IF($A39&lt;&gt;"Yes",0,IF($R39="Detailed Breakdown",$AF39,$S39*IFERROR(VLOOKUP($B39,'Cost Library'!$A$2:$Q$159,14,FALSE),0.4)))</f>
        <v>0</v>
      </c>
      <c r="AN39" s="3">
        <f>IF($A39&lt;&gt;"Yes",0,IF($R39="Detailed Breakdown",$AI39,$S39*IFERROR(VLOOKUP($B39,'Cost Library'!$A$2:$Q$159,15,FALSE),0.5)))</f>
        <v>0</v>
      </c>
      <c r="AO39" s="3">
        <f>IF($A39&lt;&gt;"Yes",0,IF($R39="Detailed Breakdown",$AJ39+$AK39,$S39*IFERROR(VLOOKUP($B39,'Cost Library'!$A$2:$Q$159,16,FALSE),0.1)))</f>
        <v>0</v>
      </c>
      <c r="AP39" s="3">
        <f t="shared" si="5"/>
        <v>0</v>
      </c>
      <c r="AQ39" s="32">
        <f t="shared" si="6"/>
        <v>0</v>
      </c>
      <c r="AR39" s="32">
        <f t="shared" si="7"/>
        <v>0</v>
      </c>
      <c r="AS39" s="32">
        <f t="shared" si="8"/>
        <v>0</v>
      </c>
      <c r="AT39" s="2" t="str">
        <f t="shared" si="9"/>
        <v/>
      </c>
      <c r="AU39" s="31" t="s">
        <v>116</v>
      </c>
      <c r="AV39" s="3">
        <f t="shared" si="10"/>
        <v>0</v>
      </c>
      <c r="AW39" s="3">
        <f t="shared" si="11"/>
        <v>0</v>
      </c>
      <c r="AX39" s="3">
        <f t="shared" si="12"/>
        <v>0</v>
      </c>
      <c r="AY39" s="3">
        <f t="shared" si="13"/>
        <v>0</v>
      </c>
      <c r="AZ39" s="3">
        <f t="shared" si="14"/>
        <v>0</v>
      </c>
      <c r="BA39" s="32">
        <f t="shared" si="15"/>
        <v>0</v>
      </c>
      <c r="BB39" s="2" t="str">
        <f t="shared" si="16"/>
        <v/>
      </c>
    </row>
    <row r="40" spans="1:54" ht="14.4">
      <c r="A40" s="13" t="s">
        <v>161</v>
      </c>
      <c r="B40" s="13"/>
      <c r="C40" s="14" t="str">
        <f>IFERROR(VLOOKUP($B40,'Cost Library'!$A$2:$M$159,2,FALSE),"")</f>
        <v/>
      </c>
      <c r="D40" s="14" t="str">
        <f>IFERROR(VLOOKUP($B40,'Cost Library'!$A$2:$M$159,3,FALSE),"")</f>
        <v/>
      </c>
      <c r="E40" s="13"/>
      <c r="F40" s="13"/>
      <c r="G40" s="13" t="str">
        <f>IFERROR(VLOOKUP($B40,'Cost Library'!$A$2:$M$159,5,FALSE),"")</f>
        <v/>
      </c>
      <c r="H40" s="13"/>
      <c r="I40" s="13"/>
      <c r="J40" s="13"/>
      <c r="K40" s="13"/>
      <c r="L40" s="13">
        <v>1</v>
      </c>
      <c r="M40" s="14" t="str">
        <f>IFERROR(VLOOKUP($B40,'Cost Library'!$A$2:$M$159,6,FALSE),"")</f>
        <v/>
      </c>
      <c r="N40" s="15">
        <f>IFERROR(VLOOKUP($B40,'Cost Library'!$A$2:$M$159,7,FALSE),0)</f>
        <v>0</v>
      </c>
      <c r="O40" s="15">
        <f>IFERROR(VLOOKUP($B40,'Cost Library'!$A$2:$M$159,8,FALSE),0)</f>
        <v>0</v>
      </c>
      <c r="P40" s="15">
        <f>IFERROR(VLOOKUP($B40,'Cost Library'!$A$2:$M$159,9,FALSE),0)</f>
        <v>0</v>
      </c>
      <c r="Q40" s="16"/>
      <c r="R40" s="16" t="s">
        <v>116</v>
      </c>
      <c r="S40" s="17">
        <f t="shared" si="0"/>
        <v>0</v>
      </c>
      <c r="T40" s="18">
        <f>'Project Inputs'!$C$15</f>
        <v>0.1</v>
      </c>
      <c r="U40" s="17">
        <f t="shared" si="1"/>
        <v>0</v>
      </c>
      <c r="V40" s="11" t="s">
        <v>247</v>
      </c>
      <c r="W40" s="14" t="str">
        <f>IFERROR(VLOOKUP($B40,'Cost Library'!$A$2:$M$159,10,FALSE),"")</f>
        <v/>
      </c>
      <c r="X40" s="11"/>
      <c r="Y40" s="11"/>
      <c r="Z40" s="11"/>
      <c r="AA40" s="11"/>
      <c r="AB40" s="11"/>
      <c r="AC40" s="11"/>
      <c r="AD40" s="30"/>
      <c r="AE40" s="31"/>
      <c r="AF40" s="3">
        <f t="shared" si="2"/>
        <v>0</v>
      </c>
      <c r="AG40" s="31"/>
      <c r="AH40" s="31"/>
      <c r="AI40" s="3">
        <f t="shared" si="3"/>
        <v>0</v>
      </c>
      <c r="AJ40" s="31"/>
      <c r="AK40" s="31"/>
      <c r="AL40" s="3">
        <f t="shared" si="4"/>
        <v>0</v>
      </c>
      <c r="AM40" s="3">
        <f>IF($A40&lt;&gt;"Yes",0,IF($R40="Detailed Breakdown",$AF40,$S40*IFERROR(VLOOKUP($B40,'Cost Library'!$A$2:$Q$159,14,FALSE),0.4)))</f>
        <v>0</v>
      </c>
      <c r="AN40" s="3">
        <f>IF($A40&lt;&gt;"Yes",0,IF($R40="Detailed Breakdown",$AI40,$S40*IFERROR(VLOOKUP($B40,'Cost Library'!$A$2:$Q$159,15,FALSE),0.5)))</f>
        <v>0</v>
      </c>
      <c r="AO40" s="3">
        <f>IF($A40&lt;&gt;"Yes",0,IF($R40="Detailed Breakdown",$AJ40+$AK40,$S40*IFERROR(VLOOKUP($B40,'Cost Library'!$A$2:$Q$159,16,FALSE),0.1)))</f>
        <v>0</v>
      </c>
      <c r="AP40" s="3">
        <f t="shared" si="5"/>
        <v>0</v>
      </c>
      <c r="AQ40" s="32">
        <f t="shared" si="6"/>
        <v>0</v>
      </c>
      <c r="AR40" s="32">
        <f t="shared" si="7"/>
        <v>0</v>
      </c>
      <c r="AS40" s="32">
        <f t="shared" si="8"/>
        <v>0</v>
      </c>
      <c r="AT40" s="2" t="str">
        <f t="shared" si="9"/>
        <v/>
      </c>
      <c r="AU40" s="31" t="s">
        <v>116</v>
      </c>
      <c r="AV40" s="3">
        <f t="shared" si="10"/>
        <v>0</v>
      </c>
      <c r="AW40" s="3">
        <f t="shared" si="11"/>
        <v>0</v>
      </c>
      <c r="AX40" s="3">
        <f t="shared" si="12"/>
        <v>0</v>
      </c>
      <c r="AY40" s="3">
        <f t="shared" si="13"/>
        <v>0</v>
      </c>
      <c r="AZ40" s="3">
        <f t="shared" si="14"/>
        <v>0</v>
      </c>
      <c r="BA40" s="32">
        <f t="shared" si="15"/>
        <v>0</v>
      </c>
      <c r="BB40" s="2" t="str">
        <f t="shared" si="16"/>
        <v/>
      </c>
    </row>
    <row r="41" spans="1:54" ht="14.4">
      <c r="A41" s="13" t="s">
        <v>161</v>
      </c>
      <c r="B41" s="13"/>
      <c r="C41" s="14" t="str">
        <f>IFERROR(VLOOKUP($B41,'Cost Library'!$A$2:$M$159,2,FALSE),"")</f>
        <v/>
      </c>
      <c r="D41" s="14" t="str">
        <f>IFERROR(VLOOKUP($B41,'Cost Library'!$A$2:$M$159,3,FALSE),"")</f>
        <v/>
      </c>
      <c r="E41" s="13"/>
      <c r="F41" s="13"/>
      <c r="G41" s="13" t="str">
        <f>IFERROR(VLOOKUP($B41,'Cost Library'!$A$2:$M$159,5,FALSE),"")</f>
        <v/>
      </c>
      <c r="H41" s="13"/>
      <c r="I41" s="13"/>
      <c r="J41" s="13"/>
      <c r="K41" s="13"/>
      <c r="L41" s="13">
        <v>1</v>
      </c>
      <c r="M41" s="14" t="str">
        <f>IFERROR(VLOOKUP($B41,'Cost Library'!$A$2:$M$159,6,FALSE),"")</f>
        <v/>
      </c>
      <c r="N41" s="15">
        <f>IFERROR(VLOOKUP($B41,'Cost Library'!$A$2:$M$159,7,FALSE),0)</f>
        <v>0</v>
      </c>
      <c r="O41" s="15">
        <f>IFERROR(VLOOKUP($B41,'Cost Library'!$A$2:$M$159,8,FALSE),0)</f>
        <v>0</v>
      </c>
      <c r="P41" s="15">
        <f>IFERROR(VLOOKUP($B41,'Cost Library'!$A$2:$M$159,9,FALSE),0)</f>
        <v>0</v>
      </c>
      <c r="Q41" s="16"/>
      <c r="R41" s="16" t="s">
        <v>116</v>
      </c>
      <c r="S41" s="17">
        <f t="shared" si="0"/>
        <v>0</v>
      </c>
      <c r="T41" s="18">
        <f>'Project Inputs'!$C$15</f>
        <v>0.1</v>
      </c>
      <c r="U41" s="17">
        <f t="shared" si="1"/>
        <v>0</v>
      </c>
      <c r="V41" s="11" t="s">
        <v>247</v>
      </c>
      <c r="W41" s="14" t="str">
        <f>IFERROR(VLOOKUP($B41,'Cost Library'!$A$2:$M$159,10,FALSE),"")</f>
        <v/>
      </c>
      <c r="X41" s="11"/>
      <c r="Y41" s="11"/>
      <c r="Z41" s="11"/>
      <c r="AA41" s="11"/>
      <c r="AB41" s="11"/>
      <c r="AC41" s="11"/>
      <c r="AD41" s="30"/>
      <c r="AE41" s="31"/>
      <c r="AF41" s="3">
        <f t="shared" si="2"/>
        <v>0</v>
      </c>
      <c r="AG41" s="31"/>
      <c r="AH41" s="31"/>
      <c r="AI41" s="3">
        <f t="shared" si="3"/>
        <v>0</v>
      </c>
      <c r="AJ41" s="31"/>
      <c r="AK41" s="31"/>
      <c r="AL41" s="3">
        <f t="shared" si="4"/>
        <v>0</v>
      </c>
      <c r="AM41" s="3">
        <f>IF($A41&lt;&gt;"Yes",0,IF($R41="Detailed Breakdown",$AF41,$S41*IFERROR(VLOOKUP($B41,'Cost Library'!$A$2:$Q$159,14,FALSE),0.4)))</f>
        <v>0</v>
      </c>
      <c r="AN41" s="3">
        <f>IF($A41&lt;&gt;"Yes",0,IF($R41="Detailed Breakdown",$AI41,$S41*IFERROR(VLOOKUP($B41,'Cost Library'!$A$2:$Q$159,15,FALSE),0.5)))</f>
        <v>0</v>
      </c>
      <c r="AO41" s="3">
        <f>IF($A41&lt;&gt;"Yes",0,IF($R41="Detailed Breakdown",$AJ41+$AK41,$S41*IFERROR(VLOOKUP($B41,'Cost Library'!$A$2:$Q$159,16,FALSE),0.1)))</f>
        <v>0</v>
      </c>
      <c r="AP41" s="3">
        <f t="shared" si="5"/>
        <v>0</v>
      </c>
      <c r="AQ41" s="32">
        <f t="shared" si="6"/>
        <v>0</v>
      </c>
      <c r="AR41" s="32">
        <f t="shared" si="7"/>
        <v>0</v>
      </c>
      <c r="AS41" s="32">
        <f t="shared" si="8"/>
        <v>0</v>
      </c>
      <c r="AT41" s="2" t="str">
        <f t="shared" si="9"/>
        <v/>
      </c>
      <c r="AU41" s="31" t="s">
        <v>116</v>
      </c>
      <c r="AV41" s="3">
        <f t="shared" si="10"/>
        <v>0</v>
      </c>
      <c r="AW41" s="3">
        <f t="shared" si="11"/>
        <v>0</v>
      </c>
      <c r="AX41" s="3">
        <f t="shared" si="12"/>
        <v>0</v>
      </c>
      <c r="AY41" s="3">
        <f t="shared" si="13"/>
        <v>0</v>
      </c>
      <c r="AZ41" s="3">
        <f t="shared" si="14"/>
        <v>0</v>
      </c>
      <c r="BA41" s="32">
        <f t="shared" si="15"/>
        <v>0</v>
      </c>
      <c r="BB41" s="2" t="str">
        <f t="shared" si="16"/>
        <v/>
      </c>
    </row>
    <row r="42" spans="1:54" ht="14.4">
      <c r="A42" s="13" t="s">
        <v>161</v>
      </c>
      <c r="B42" s="13"/>
      <c r="C42" s="14" t="str">
        <f>IFERROR(VLOOKUP($B42,'Cost Library'!$A$2:$M$159,2,FALSE),"")</f>
        <v/>
      </c>
      <c r="D42" s="14" t="str">
        <f>IFERROR(VLOOKUP($B42,'Cost Library'!$A$2:$M$159,3,FALSE),"")</f>
        <v/>
      </c>
      <c r="E42" s="13"/>
      <c r="F42" s="13"/>
      <c r="G42" s="13" t="str">
        <f>IFERROR(VLOOKUP($B42,'Cost Library'!$A$2:$M$159,5,FALSE),"")</f>
        <v/>
      </c>
      <c r="H42" s="13"/>
      <c r="I42" s="13"/>
      <c r="J42" s="13"/>
      <c r="K42" s="13"/>
      <c r="L42" s="13">
        <v>1</v>
      </c>
      <c r="M42" s="14" t="str">
        <f>IFERROR(VLOOKUP($B42,'Cost Library'!$A$2:$M$159,6,FALSE),"")</f>
        <v/>
      </c>
      <c r="N42" s="15">
        <f>IFERROR(VLOOKUP($B42,'Cost Library'!$A$2:$M$159,7,FALSE),0)</f>
        <v>0</v>
      </c>
      <c r="O42" s="15">
        <f>IFERROR(VLOOKUP($B42,'Cost Library'!$A$2:$M$159,8,FALSE),0)</f>
        <v>0</v>
      </c>
      <c r="P42" s="15">
        <f>IFERROR(VLOOKUP($B42,'Cost Library'!$A$2:$M$159,9,FALSE),0)</f>
        <v>0</v>
      </c>
      <c r="Q42" s="16"/>
      <c r="R42" s="16" t="s">
        <v>116</v>
      </c>
      <c r="S42" s="17">
        <f t="shared" si="0"/>
        <v>0</v>
      </c>
      <c r="T42" s="18">
        <f>'Project Inputs'!$C$15</f>
        <v>0.1</v>
      </c>
      <c r="U42" s="17">
        <f t="shared" si="1"/>
        <v>0</v>
      </c>
      <c r="V42" s="11" t="s">
        <v>247</v>
      </c>
      <c r="W42" s="14" t="str">
        <f>IFERROR(VLOOKUP($B42,'Cost Library'!$A$2:$M$159,10,FALSE),"")</f>
        <v/>
      </c>
      <c r="X42" s="11"/>
      <c r="Y42" s="11"/>
      <c r="Z42" s="11"/>
      <c r="AA42" s="11"/>
      <c r="AB42" s="11"/>
      <c r="AC42" s="11"/>
      <c r="AD42" s="30"/>
      <c r="AE42" s="31"/>
      <c r="AF42" s="3">
        <f t="shared" si="2"/>
        <v>0</v>
      </c>
      <c r="AG42" s="31"/>
      <c r="AH42" s="31"/>
      <c r="AI42" s="3">
        <f t="shared" si="3"/>
        <v>0</v>
      </c>
      <c r="AJ42" s="31"/>
      <c r="AK42" s="31"/>
      <c r="AL42" s="3">
        <f t="shared" si="4"/>
        <v>0</v>
      </c>
      <c r="AM42" s="3">
        <f>IF($A42&lt;&gt;"Yes",0,IF($R42="Detailed Breakdown",$AF42,$S42*IFERROR(VLOOKUP($B42,'Cost Library'!$A$2:$Q$159,14,FALSE),0.4)))</f>
        <v>0</v>
      </c>
      <c r="AN42" s="3">
        <f>IF($A42&lt;&gt;"Yes",0,IF($R42="Detailed Breakdown",$AI42,$S42*IFERROR(VLOOKUP($B42,'Cost Library'!$A$2:$Q$159,15,FALSE),0.5)))</f>
        <v>0</v>
      </c>
      <c r="AO42" s="3">
        <f>IF($A42&lt;&gt;"Yes",0,IF($R42="Detailed Breakdown",$AJ42+$AK42,$S42*IFERROR(VLOOKUP($B42,'Cost Library'!$A$2:$Q$159,16,FALSE),0.1)))</f>
        <v>0</v>
      </c>
      <c r="AP42" s="3">
        <f t="shared" si="5"/>
        <v>0</v>
      </c>
      <c r="AQ42" s="32">
        <f t="shared" si="6"/>
        <v>0</v>
      </c>
      <c r="AR42" s="32">
        <f t="shared" si="7"/>
        <v>0</v>
      </c>
      <c r="AS42" s="32">
        <f t="shared" si="8"/>
        <v>0</v>
      </c>
      <c r="AT42" s="2" t="str">
        <f t="shared" si="9"/>
        <v/>
      </c>
      <c r="AU42" s="31" t="s">
        <v>116</v>
      </c>
      <c r="AV42" s="3">
        <f t="shared" si="10"/>
        <v>0</v>
      </c>
      <c r="AW42" s="3">
        <f t="shared" si="11"/>
        <v>0</v>
      </c>
      <c r="AX42" s="3">
        <f t="shared" si="12"/>
        <v>0</v>
      </c>
      <c r="AY42" s="3">
        <f t="shared" si="13"/>
        <v>0</v>
      </c>
      <c r="AZ42" s="3">
        <f t="shared" si="14"/>
        <v>0</v>
      </c>
      <c r="BA42" s="32">
        <f t="shared" si="15"/>
        <v>0</v>
      </c>
      <c r="BB42" s="2" t="str">
        <f t="shared" si="16"/>
        <v/>
      </c>
    </row>
    <row r="43" spans="1:54" ht="14.4">
      <c r="A43" s="13" t="s">
        <v>161</v>
      </c>
      <c r="B43" s="13"/>
      <c r="C43" s="14" t="str">
        <f>IFERROR(VLOOKUP($B43,'Cost Library'!$A$2:$M$159,2,FALSE),"")</f>
        <v/>
      </c>
      <c r="D43" s="14" t="str">
        <f>IFERROR(VLOOKUP($B43,'Cost Library'!$A$2:$M$159,3,FALSE),"")</f>
        <v/>
      </c>
      <c r="E43" s="13"/>
      <c r="F43" s="13"/>
      <c r="G43" s="13" t="str">
        <f>IFERROR(VLOOKUP($B43,'Cost Library'!$A$2:$M$159,5,FALSE),"")</f>
        <v/>
      </c>
      <c r="H43" s="13"/>
      <c r="I43" s="13"/>
      <c r="J43" s="13"/>
      <c r="K43" s="13"/>
      <c r="L43" s="13">
        <v>1</v>
      </c>
      <c r="M43" s="14" t="str">
        <f>IFERROR(VLOOKUP($B43,'Cost Library'!$A$2:$M$159,6,FALSE),"")</f>
        <v/>
      </c>
      <c r="N43" s="15">
        <f>IFERROR(VLOOKUP($B43,'Cost Library'!$A$2:$M$159,7,FALSE),0)</f>
        <v>0</v>
      </c>
      <c r="O43" s="15">
        <f>IFERROR(VLOOKUP($B43,'Cost Library'!$A$2:$M$159,8,FALSE),0)</f>
        <v>0</v>
      </c>
      <c r="P43" s="15">
        <f>IFERROR(VLOOKUP($B43,'Cost Library'!$A$2:$M$159,9,FALSE),0)</f>
        <v>0</v>
      </c>
      <c r="Q43" s="16"/>
      <c r="R43" s="16" t="s">
        <v>116</v>
      </c>
      <c r="S43" s="17">
        <f t="shared" si="0"/>
        <v>0</v>
      </c>
      <c r="T43" s="18">
        <f>'Project Inputs'!$C$15</f>
        <v>0.1</v>
      </c>
      <c r="U43" s="17">
        <f t="shared" si="1"/>
        <v>0</v>
      </c>
      <c r="V43" s="11" t="s">
        <v>247</v>
      </c>
      <c r="W43" s="14" t="str">
        <f>IFERROR(VLOOKUP($B43,'Cost Library'!$A$2:$M$159,10,FALSE),"")</f>
        <v/>
      </c>
      <c r="X43" s="11"/>
      <c r="Y43" s="11"/>
      <c r="Z43" s="11"/>
      <c r="AA43" s="11"/>
      <c r="AB43" s="11"/>
      <c r="AC43" s="11"/>
      <c r="AD43" s="30"/>
      <c r="AE43" s="31"/>
      <c r="AF43" s="3">
        <f t="shared" si="2"/>
        <v>0</v>
      </c>
      <c r="AG43" s="31"/>
      <c r="AH43" s="31"/>
      <c r="AI43" s="3">
        <f t="shared" si="3"/>
        <v>0</v>
      </c>
      <c r="AJ43" s="31"/>
      <c r="AK43" s="31"/>
      <c r="AL43" s="3">
        <f t="shared" si="4"/>
        <v>0</v>
      </c>
      <c r="AM43" s="3">
        <f>IF($A43&lt;&gt;"Yes",0,IF($R43="Detailed Breakdown",$AF43,$S43*IFERROR(VLOOKUP($B43,'Cost Library'!$A$2:$Q$159,14,FALSE),0.4)))</f>
        <v>0</v>
      </c>
      <c r="AN43" s="3">
        <f>IF($A43&lt;&gt;"Yes",0,IF($R43="Detailed Breakdown",$AI43,$S43*IFERROR(VLOOKUP($B43,'Cost Library'!$A$2:$Q$159,15,FALSE),0.5)))</f>
        <v>0</v>
      </c>
      <c r="AO43" s="3">
        <f>IF($A43&lt;&gt;"Yes",0,IF($R43="Detailed Breakdown",$AJ43+$AK43,$S43*IFERROR(VLOOKUP($B43,'Cost Library'!$A$2:$Q$159,16,FALSE),0.1)))</f>
        <v>0</v>
      </c>
      <c r="AP43" s="3">
        <f t="shared" si="5"/>
        <v>0</v>
      </c>
      <c r="AQ43" s="32">
        <f t="shared" si="6"/>
        <v>0</v>
      </c>
      <c r="AR43" s="32">
        <f t="shared" si="7"/>
        <v>0</v>
      </c>
      <c r="AS43" s="32">
        <f t="shared" si="8"/>
        <v>0</v>
      </c>
      <c r="AT43" s="2" t="str">
        <f t="shared" si="9"/>
        <v/>
      </c>
      <c r="AU43" s="31" t="s">
        <v>116</v>
      </c>
      <c r="AV43" s="3">
        <f t="shared" si="10"/>
        <v>0</v>
      </c>
      <c r="AW43" s="3">
        <f t="shared" si="11"/>
        <v>0</v>
      </c>
      <c r="AX43" s="3">
        <f t="shared" si="12"/>
        <v>0</v>
      </c>
      <c r="AY43" s="3">
        <f t="shared" si="13"/>
        <v>0</v>
      </c>
      <c r="AZ43" s="3">
        <f t="shared" si="14"/>
        <v>0</v>
      </c>
      <c r="BA43" s="32">
        <f t="shared" si="15"/>
        <v>0</v>
      </c>
      <c r="BB43" s="2" t="str">
        <f t="shared" si="16"/>
        <v/>
      </c>
    </row>
    <row r="44" spans="1:54" ht="14.4">
      <c r="A44" s="13" t="s">
        <v>161</v>
      </c>
      <c r="B44" s="13"/>
      <c r="C44" s="14" t="str">
        <f>IFERROR(VLOOKUP($B44,'Cost Library'!$A$2:$M$159,2,FALSE),"")</f>
        <v/>
      </c>
      <c r="D44" s="14" t="str">
        <f>IFERROR(VLOOKUP($B44,'Cost Library'!$A$2:$M$159,3,FALSE),"")</f>
        <v/>
      </c>
      <c r="E44" s="13"/>
      <c r="F44" s="13"/>
      <c r="G44" s="13" t="str">
        <f>IFERROR(VLOOKUP($B44,'Cost Library'!$A$2:$M$159,5,FALSE),"")</f>
        <v/>
      </c>
      <c r="H44" s="13"/>
      <c r="I44" s="13"/>
      <c r="J44" s="13"/>
      <c r="K44" s="13"/>
      <c r="L44" s="13">
        <v>1</v>
      </c>
      <c r="M44" s="14" t="str">
        <f>IFERROR(VLOOKUP($B44,'Cost Library'!$A$2:$M$159,6,FALSE),"")</f>
        <v/>
      </c>
      <c r="N44" s="15">
        <f>IFERROR(VLOOKUP($B44,'Cost Library'!$A$2:$M$159,7,FALSE),0)</f>
        <v>0</v>
      </c>
      <c r="O44" s="15">
        <f>IFERROR(VLOOKUP($B44,'Cost Library'!$A$2:$M$159,8,FALSE),0)</f>
        <v>0</v>
      </c>
      <c r="P44" s="15">
        <f>IFERROR(VLOOKUP($B44,'Cost Library'!$A$2:$M$159,9,FALSE),0)</f>
        <v>0</v>
      </c>
      <c r="Q44" s="16"/>
      <c r="R44" s="16" t="s">
        <v>116</v>
      </c>
      <c r="S44" s="17">
        <f t="shared" si="0"/>
        <v>0</v>
      </c>
      <c r="T44" s="18">
        <f>'Project Inputs'!$C$15</f>
        <v>0.1</v>
      </c>
      <c r="U44" s="17">
        <f t="shared" si="1"/>
        <v>0</v>
      </c>
      <c r="V44" s="11" t="s">
        <v>247</v>
      </c>
      <c r="W44" s="14" t="str">
        <f>IFERROR(VLOOKUP($B44,'Cost Library'!$A$2:$M$159,10,FALSE),"")</f>
        <v/>
      </c>
      <c r="X44" s="11"/>
      <c r="Y44" s="11"/>
      <c r="Z44" s="11"/>
      <c r="AA44" s="11"/>
      <c r="AB44" s="11"/>
      <c r="AC44" s="11"/>
      <c r="AD44" s="30"/>
      <c r="AE44" s="31"/>
      <c r="AF44" s="3">
        <f t="shared" si="2"/>
        <v>0</v>
      </c>
      <c r="AG44" s="31"/>
      <c r="AH44" s="31"/>
      <c r="AI44" s="3">
        <f t="shared" si="3"/>
        <v>0</v>
      </c>
      <c r="AJ44" s="31"/>
      <c r="AK44" s="31"/>
      <c r="AL44" s="3">
        <f t="shared" si="4"/>
        <v>0</v>
      </c>
      <c r="AM44" s="3">
        <f>IF($A44&lt;&gt;"Yes",0,IF($R44="Detailed Breakdown",$AF44,$S44*IFERROR(VLOOKUP($B44,'Cost Library'!$A$2:$Q$159,14,FALSE),0.4)))</f>
        <v>0</v>
      </c>
      <c r="AN44" s="3">
        <f>IF($A44&lt;&gt;"Yes",0,IF($R44="Detailed Breakdown",$AI44,$S44*IFERROR(VLOOKUP($B44,'Cost Library'!$A$2:$Q$159,15,FALSE),0.5)))</f>
        <v>0</v>
      </c>
      <c r="AO44" s="3">
        <f>IF($A44&lt;&gt;"Yes",0,IF($R44="Detailed Breakdown",$AJ44+$AK44,$S44*IFERROR(VLOOKUP($B44,'Cost Library'!$A$2:$Q$159,16,FALSE),0.1)))</f>
        <v>0</v>
      </c>
      <c r="AP44" s="3">
        <f t="shared" si="5"/>
        <v>0</v>
      </c>
      <c r="AQ44" s="32">
        <f t="shared" si="6"/>
        <v>0</v>
      </c>
      <c r="AR44" s="32">
        <f t="shared" si="7"/>
        <v>0</v>
      </c>
      <c r="AS44" s="32">
        <f t="shared" si="8"/>
        <v>0</v>
      </c>
      <c r="AT44" s="2" t="str">
        <f t="shared" si="9"/>
        <v/>
      </c>
      <c r="AU44" s="31" t="s">
        <v>116</v>
      </c>
      <c r="AV44" s="3">
        <f t="shared" si="10"/>
        <v>0</v>
      </c>
      <c r="AW44" s="3">
        <f t="shared" si="11"/>
        <v>0</v>
      </c>
      <c r="AX44" s="3">
        <f t="shared" si="12"/>
        <v>0</v>
      </c>
      <c r="AY44" s="3">
        <f t="shared" si="13"/>
        <v>0</v>
      </c>
      <c r="AZ44" s="3">
        <f t="shared" si="14"/>
        <v>0</v>
      </c>
      <c r="BA44" s="32">
        <f t="shared" si="15"/>
        <v>0</v>
      </c>
      <c r="BB44" s="2" t="str">
        <f t="shared" si="16"/>
        <v/>
      </c>
    </row>
    <row r="45" spans="1:54" ht="14.4">
      <c r="A45" s="13" t="s">
        <v>161</v>
      </c>
      <c r="B45" s="13"/>
      <c r="C45" s="14" t="str">
        <f>IFERROR(VLOOKUP($B45,'Cost Library'!$A$2:$M$159,2,FALSE),"")</f>
        <v/>
      </c>
      <c r="D45" s="14" t="str">
        <f>IFERROR(VLOOKUP($B45,'Cost Library'!$A$2:$M$159,3,FALSE),"")</f>
        <v/>
      </c>
      <c r="E45" s="13"/>
      <c r="F45" s="13"/>
      <c r="G45" s="13" t="str">
        <f>IFERROR(VLOOKUP($B45,'Cost Library'!$A$2:$M$159,5,FALSE),"")</f>
        <v/>
      </c>
      <c r="H45" s="13"/>
      <c r="I45" s="13"/>
      <c r="J45" s="13"/>
      <c r="K45" s="13"/>
      <c r="L45" s="13">
        <v>1</v>
      </c>
      <c r="M45" s="14" t="str">
        <f>IFERROR(VLOOKUP($B45,'Cost Library'!$A$2:$M$159,6,FALSE),"")</f>
        <v/>
      </c>
      <c r="N45" s="15">
        <f>IFERROR(VLOOKUP($B45,'Cost Library'!$A$2:$M$159,7,FALSE),0)</f>
        <v>0</v>
      </c>
      <c r="O45" s="15">
        <f>IFERROR(VLOOKUP($B45,'Cost Library'!$A$2:$M$159,8,FALSE),0)</f>
        <v>0</v>
      </c>
      <c r="P45" s="15">
        <f>IFERROR(VLOOKUP($B45,'Cost Library'!$A$2:$M$159,9,FALSE),0)</f>
        <v>0</v>
      </c>
      <c r="Q45" s="16"/>
      <c r="R45" s="16" t="s">
        <v>116</v>
      </c>
      <c r="S45" s="17">
        <f t="shared" si="0"/>
        <v>0</v>
      </c>
      <c r="T45" s="18">
        <f>'Project Inputs'!$C$15</f>
        <v>0.1</v>
      </c>
      <c r="U45" s="17">
        <f t="shared" si="1"/>
        <v>0</v>
      </c>
      <c r="V45" s="11" t="s">
        <v>247</v>
      </c>
      <c r="W45" s="14" t="str">
        <f>IFERROR(VLOOKUP($B45,'Cost Library'!$A$2:$M$159,10,FALSE),"")</f>
        <v/>
      </c>
      <c r="X45" s="11"/>
      <c r="Y45" s="11"/>
      <c r="Z45" s="11"/>
      <c r="AA45" s="11"/>
      <c r="AB45" s="11"/>
      <c r="AC45" s="11"/>
      <c r="AD45" s="30"/>
      <c r="AE45" s="31"/>
      <c r="AF45" s="3">
        <f t="shared" si="2"/>
        <v>0</v>
      </c>
      <c r="AG45" s="31"/>
      <c r="AH45" s="31"/>
      <c r="AI45" s="3">
        <f t="shared" si="3"/>
        <v>0</v>
      </c>
      <c r="AJ45" s="31"/>
      <c r="AK45" s="31"/>
      <c r="AL45" s="3">
        <f t="shared" si="4"/>
        <v>0</v>
      </c>
      <c r="AM45" s="3">
        <f>IF($A45&lt;&gt;"Yes",0,IF($R45="Detailed Breakdown",$AF45,$S45*IFERROR(VLOOKUP($B45,'Cost Library'!$A$2:$Q$159,14,FALSE),0.4)))</f>
        <v>0</v>
      </c>
      <c r="AN45" s="3">
        <f>IF($A45&lt;&gt;"Yes",0,IF($R45="Detailed Breakdown",$AI45,$S45*IFERROR(VLOOKUP($B45,'Cost Library'!$A$2:$Q$159,15,FALSE),0.5)))</f>
        <v>0</v>
      </c>
      <c r="AO45" s="3">
        <f>IF($A45&lt;&gt;"Yes",0,IF($R45="Detailed Breakdown",$AJ45+$AK45,$S45*IFERROR(VLOOKUP($B45,'Cost Library'!$A$2:$Q$159,16,FALSE),0.1)))</f>
        <v>0</v>
      </c>
      <c r="AP45" s="3">
        <f t="shared" si="5"/>
        <v>0</v>
      </c>
      <c r="AQ45" s="32">
        <f t="shared" si="6"/>
        <v>0</v>
      </c>
      <c r="AR45" s="32">
        <f t="shared" si="7"/>
        <v>0</v>
      </c>
      <c r="AS45" s="32">
        <f t="shared" si="8"/>
        <v>0</v>
      </c>
      <c r="AT45" s="2" t="str">
        <f t="shared" si="9"/>
        <v/>
      </c>
      <c r="AU45" s="31" t="s">
        <v>116</v>
      </c>
      <c r="AV45" s="3">
        <f t="shared" si="10"/>
        <v>0</v>
      </c>
      <c r="AW45" s="3">
        <f t="shared" si="11"/>
        <v>0</v>
      </c>
      <c r="AX45" s="3">
        <f t="shared" si="12"/>
        <v>0</v>
      </c>
      <c r="AY45" s="3">
        <f t="shared" si="13"/>
        <v>0</v>
      </c>
      <c r="AZ45" s="3">
        <f t="shared" si="14"/>
        <v>0</v>
      </c>
      <c r="BA45" s="32">
        <f t="shared" si="15"/>
        <v>0</v>
      </c>
      <c r="BB45" s="2" t="str">
        <f t="shared" si="16"/>
        <v/>
      </c>
    </row>
    <row r="46" spans="1:54" ht="14.4">
      <c r="A46" s="13" t="s">
        <v>161</v>
      </c>
      <c r="B46" s="13"/>
      <c r="C46" s="14" t="str">
        <f>IFERROR(VLOOKUP($B46,'Cost Library'!$A$2:$M$159,2,FALSE),"")</f>
        <v/>
      </c>
      <c r="D46" s="14" t="str">
        <f>IFERROR(VLOOKUP($B46,'Cost Library'!$A$2:$M$159,3,FALSE),"")</f>
        <v/>
      </c>
      <c r="E46" s="13"/>
      <c r="F46" s="13"/>
      <c r="G46" s="13" t="str">
        <f>IFERROR(VLOOKUP($B46,'Cost Library'!$A$2:$M$159,5,FALSE),"")</f>
        <v/>
      </c>
      <c r="H46" s="13"/>
      <c r="I46" s="13"/>
      <c r="J46" s="13"/>
      <c r="K46" s="13"/>
      <c r="L46" s="13">
        <v>1</v>
      </c>
      <c r="M46" s="14" t="str">
        <f>IFERROR(VLOOKUP($B46,'Cost Library'!$A$2:$M$159,6,FALSE),"")</f>
        <v/>
      </c>
      <c r="N46" s="15">
        <f>IFERROR(VLOOKUP($B46,'Cost Library'!$A$2:$M$159,7,FALSE),0)</f>
        <v>0</v>
      </c>
      <c r="O46" s="15">
        <f>IFERROR(VLOOKUP($B46,'Cost Library'!$A$2:$M$159,8,FALSE),0)</f>
        <v>0</v>
      </c>
      <c r="P46" s="15">
        <f>IFERROR(VLOOKUP($B46,'Cost Library'!$A$2:$M$159,9,FALSE),0)</f>
        <v>0</v>
      </c>
      <c r="Q46" s="16"/>
      <c r="R46" s="16" t="s">
        <v>116</v>
      </c>
      <c r="S46" s="17">
        <f t="shared" si="0"/>
        <v>0</v>
      </c>
      <c r="T46" s="18">
        <f>'Project Inputs'!$C$15</f>
        <v>0.1</v>
      </c>
      <c r="U46" s="17">
        <f t="shared" si="1"/>
        <v>0</v>
      </c>
      <c r="V46" s="11" t="s">
        <v>247</v>
      </c>
      <c r="W46" s="14" t="str">
        <f>IFERROR(VLOOKUP($B46,'Cost Library'!$A$2:$M$159,10,FALSE),"")</f>
        <v/>
      </c>
      <c r="X46" s="11"/>
      <c r="Y46" s="11"/>
      <c r="Z46" s="11"/>
      <c r="AA46" s="11"/>
      <c r="AB46" s="11"/>
      <c r="AC46" s="11"/>
      <c r="AD46" s="30"/>
      <c r="AE46" s="31"/>
      <c r="AF46" s="3">
        <f t="shared" si="2"/>
        <v>0</v>
      </c>
      <c r="AG46" s="31"/>
      <c r="AH46" s="31"/>
      <c r="AI46" s="3">
        <f t="shared" si="3"/>
        <v>0</v>
      </c>
      <c r="AJ46" s="31"/>
      <c r="AK46" s="31"/>
      <c r="AL46" s="3">
        <f t="shared" si="4"/>
        <v>0</v>
      </c>
      <c r="AM46" s="3">
        <f>IF($A46&lt;&gt;"Yes",0,IF($R46="Detailed Breakdown",$AF46,$S46*IFERROR(VLOOKUP($B46,'Cost Library'!$A$2:$Q$159,14,FALSE),0.4)))</f>
        <v>0</v>
      </c>
      <c r="AN46" s="3">
        <f>IF($A46&lt;&gt;"Yes",0,IF($R46="Detailed Breakdown",$AI46,$S46*IFERROR(VLOOKUP($B46,'Cost Library'!$A$2:$Q$159,15,FALSE),0.5)))</f>
        <v>0</v>
      </c>
      <c r="AO46" s="3">
        <f>IF($A46&lt;&gt;"Yes",0,IF($R46="Detailed Breakdown",$AJ46+$AK46,$S46*IFERROR(VLOOKUP($B46,'Cost Library'!$A$2:$Q$159,16,FALSE),0.1)))</f>
        <v>0</v>
      </c>
      <c r="AP46" s="3">
        <f t="shared" si="5"/>
        <v>0</v>
      </c>
      <c r="AQ46" s="32">
        <f t="shared" si="6"/>
        <v>0</v>
      </c>
      <c r="AR46" s="32">
        <f t="shared" si="7"/>
        <v>0</v>
      </c>
      <c r="AS46" s="32">
        <f t="shared" si="8"/>
        <v>0</v>
      </c>
      <c r="AT46" s="2" t="str">
        <f t="shared" si="9"/>
        <v/>
      </c>
      <c r="AU46" s="31" t="s">
        <v>116</v>
      </c>
      <c r="AV46" s="3">
        <f t="shared" si="10"/>
        <v>0</v>
      </c>
      <c r="AW46" s="3">
        <f t="shared" si="11"/>
        <v>0</v>
      </c>
      <c r="AX46" s="3">
        <f t="shared" si="12"/>
        <v>0</v>
      </c>
      <c r="AY46" s="3">
        <f t="shared" si="13"/>
        <v>0</v>
      </c>
      <c r="AZ46" s="3">
        <f t="shared" si="14"/>
        <v>0</v>
      </c>
      <c r="BA46" s="32">
        <f t="shared" si="15"/>
        <v>0</v>
      </c>
      <c r="BB46" s="2" t="str">
        <f t="shared" si="16"/>
        <v/>
      </c>
    </row>
    <row r="47" spans="1:54" ht="14.4">
      <c r="A47" s="13" t="s">
        <v>161</v>
      </c>
      <c r="B47" s="13"/>
      <c r="C47" s="14" t="str">
        <f>IFERROR(VLOOKUP($B47,'Cost Library'!$A$2:$M$159,2,FALSE),"")</f>
        <v/>
      </c>
      <c r="D47" s="14" t="str">
        <f>IFERROR(VLOOKUP($B47,'Cost Library'!$A$2:$M$159,3,FALSE),"")</f>
        <v/>
      </c>
      <c r="E47" s="13"/>
      <c r="F47" s="13"/>
      <c r="G47" s="13" t="str">
        <f>IFERROR(VLOOKUP($B47,'Cost Library'!$A$2:$M$159,5,FALSE),"")</f>
        <v/>
      </c>
      <c r="H47" s="13"/>
      <c r="I47" s="13"/>
      <c r="J47" s="13"/>
      <c r="K47" s="13"/>
      <c r="L47" s="13">
        <v>1</v>
      </c>
      <c r="M47" s="14" t="str">
        <f>IFERROR(VLOOKUP($B47,'Cost Library'!$A$2:$M$159,6,FALSE),"")</f>
        <v/>
      </c>
      <c r="N47" s="15">
        <f>IFERROR(VLOOKUP($B47,'Cost Library'!$A$2:$M$159,7,FALSE),0)</f>
        <v>0</v>
      </c>
      <c r="O47" s="15">
        <f>IFERROR(VLOOKUP($B47,'Cost Library'!$A$2:$M$159,8,FALSE),0)</f>
        <v>0</v>
      </c>
      <c r="P47" s="15">
        <f>IFERROR(VLOOKUP($B47,'Cost Library'!$A$2:$M$159,9,FALSE),0)</f>
        <v>0</v>
      </c>
      <c r="Q47" s="16"/>
      <c r="R47" s="16" t="s">
        <v>116</v>
      </c>
      <c r="S47" s="17">
        <f t="shared" si="0"/>
        <v>0</v>
      </c>
      <c r="T47" s="18">
        <f>'Project Inputs'!$C$15</f>
        <v>0.1</v>
      </c>
      <c r="U47" s="17">
        <f t="shared" si="1"/>
        <v>0</v>
      </c>
      <c r="V47" s="11" t="s">
        <v>247</v>
      </c>
      <c r="W47" s="14" t="str">
        <f>IFERROR(VLOOKUP($B47,'Cost Library'!$A$2:$M$159,10,FALSE),"")</f>
        <v/>
      </c>
      <c r="X47" s="11"/>
      <c r="Y47" s="11"/>
      <c r="Z47" s="11"/>
      <c r="AA47" s="11"/>
      <c r="AB47" s="11"/>
      <c r="AC47" s="11"/>
      <c r="AD47" s="30"/>
      <c r="AE47" s="31"/>
      <c r="AF47" s="3">
        <f t="shared" si="2"/>
        <v>0</v>
      </c>
      <c r="AG47" s="31"/>
      <c r="AH47" s="31"/>
      <c r="AI47" s="3">
        <f t="shared" si="3"/>
        <v>0</v>
      </c>
      <c r="AJ47" s="31"/>
      <c r="AK47" s="31"/>
      <c r="AL47" s="3">
        <f t="shared" si="4"/>
        <v>0</v>
      </c>
      <c r="AM47" s="3">
        <f>IF($A47&lt;&gt;"Yes",0,IF($R47="Detailed Breakdown",$AF47,$S47*IFERROR(VLOOKUP($B47,'Cost Library'!$A$2:$Q$159,14,FALSE),0.4)))</f>
        <v>0</v>
      </c>
      <c r="AN47" s="3">
        <f>IF($A47&lt;&gt;"Yes",0,IF($R47="Detailed Breakdown",$AI47,$S47*IFERROR(VLOOKUP($B47,'Cost Library'!$A$2:$Q$159,15,FALSE),0.5)))</f>
        <v>0</v>
      </c>
      <c r="AO47" s="3">
        <f>IF($A47&lt;&gt;"Yes",0,IF($R47="Detailed Breakdown",$AJ47+$AK47,$S47*IFERROR(VLOOKUP($B47,'Cost Library'!$A$2:$Q$159,16,FALSE),0.1)))</f>
        <v>0</v>
      </c>
      <c r="AP47" s="3">
        <f t="shared" si="5"/>
        <v>0</v>
      </c>
      <c r="AQ47" s="32">
        <f t="shared" si="6"/>
        <v>0</v>
      </c>
      <c r="AR47" s="32">
        <f t="shared" si="7"/>
        <v>0</v>
      </c>
      <c r="AS47" s="32">
        <f t="shared" si="8"/>
        <v>0</v>
      </c>
      <c r="AT47" s="2" t="str">
        <f t="shared" si="9"/>
        <v/>
      </c>
      <c r="AU47" s="31" t="s">
        <v>116</v>
      </c>
      <c r="AV47" s="3">
        <f t="shared" si="10"/>
        <v>0</v>
      </c>
      <c r="AW47" s="3">
        <f t="shared" si="11"/>
        <v>0</v>
      </c>
      <c r="AX47" s="3">
        <f t="shared" si="12"/>
        <v>0</v>
      </c>
      <c r="AY47" s="3">
        <f t="shared" si="13"/>
        <v>0</v>
      </c>
      <c r="AZ47" s="3">
        <f t="shared" si="14"/>
        <v>0</v>
      </c>
      <c r="BA47" s="32">
        <f t="shared" si="15"/>
        <v>0</v>
      </c>
      <c r="BB47" s="2" t="str">
        <f t="shared" si="16"/>
        <v/>
      </c>
    </row>
    <row r="48" spans="1:54" ht="14.4">
      <c r="A48" s="13" t="s">
        <v>161</v>
      </c>
      <c r="B48" s="13"/>
      <c r="C48" s="14" t="str">
        <f>IFERROR(VLOOKUP($B48,'Cost Library'!$A$2:$M$159,2,FALSE),"")</f>
        <v/>
      </c>
      <c r="D48" s="14" t="str">
        <f>IFERROR(VLOOKUP($B48,'Cost Library'!$A$2:$M$159,3,FALSE),"")</f>
        <v/>
      </c>
      <c r="E48" s="13"/>
      <c r="F48" s="13"/>
      <c r="G48" s="13" t="str">
        <f>IFERROR(VLOOKUP($B48,'Cost Library'!$A$2:$M$159,5,FALSE),"")</f>
        <v/>
      </c>
      <c r="H48" s="13"/>
      <c r="I48" s="13"/>
      <c r="J48" s="13"/>
      <c r="K48" s="13"/>
      <c r="L48" s="13">
        <v>1</v>
      </c>
      <c r="M48" s="14" t="str">
        <f>IFERROR(VLOOKUP($B48,'Cost Library'!$A$2:$M$159,6,FALSE),"")</f>
        <v/>
      </c>
      <c r="N48" s="15">
        <f>IFERROR(VLOOKUP($B48,'Cost Library'!$A$2:$M$159,7,FALSE),0)</f>
        <v>0</v>
      </c>
      <c r="O48" s="15">
        <f>IFERROR(VLOOKUP($B48,'Cost Library'!$A$2:$M$159,8,FALSE),0)</f>
        <v>0</v>
      </c>
      <c r="P48" s="15">
        <f>IFERROR(VLOOKUP($B48,'Cost Library'!$A$2:$M$159,9,FALSE),0)</f>
        <v>0</v>
      </c>
      <c r="Q48" s="16"/>
      <c r="R48" s="16" t="s">
        <v>116</v>
      </c>
      <c r="S48" s="17">
        <f t="shared" si="0"/>
        <v>0</v>
      </c>
      <c r="T48" s="18">
        <f>'Project Inputs'!$C$15</f>
        <v>0.1</v>
      </c>
      <c r="U48" s="17">
        <f t="shared" si="1"/>
        <v>0</v>
      </c>
      <c r="V48" s="11" t="s">
        <v>247</v>
      </c>
      <c r="W48" s="14" t="str">
        <f>IFERROR(VLOOKUP($B48,'Cost Library'!$A$2:$M$159,10,FALSE),"")</f>
        <v/>
      </c>
      <c r="X48" s="11"/>
      <c r="Y48" s="11"/>
      <c r="Z48" s="11"/>
      <c r="AA48" s="11"/>
      <c r="AB48" s="11"/>
      <c r="AC48" s="11"/>
      <c r="AD48" s="30"/>
      <c r="AE48" s="31"/>
      <c r="AF48" s="3">
        <f t="shared" si="2"/>
        <v>0</v>
      </c>
      <c r="AG48" s="31"/>
      <c r="AH48" s="31"/>
      <c r="AI48" s="3">
        <f t="shared" si="3"/>
        <v>0</v>
      </c>
      <c r="AJ48" s="31"/>
      <c r="AK48" s="31"/>
      <c r="AL48" s="3">
        <f t="shared" si="4"/>
        <v>0</v>
      </c>
      <c r="AM48" s="3">
        <f>IF($A48&lt;&gt;"Yes",0,IF($R48="Detailed Breakdown",$AF48,$S48*IFERROR(VLOOKUP($B48,'Cost Library'!$A$2:$Q$159,14,FALSE),0.4)))</f>
        <v>0</v>
      </c>
      <c r="AN48" s="3">
        <f>IF($A48&lt;&gt;"Yes",0,IF($R48="Detailed Breakdown",$AI48,$S48*IFERROR(VLOOKUP($B48,'Cost Library'!$A$2:$Q$159,15,FALSE),0.5)))</f>
        <v>0</v>
      </c>
      <c r="AO48" s="3">
        <f>IF($A48&lt;&gt;"Yes",0,IF($R48="Detailed Breakdown",$AJ48+$AK48,$S48*IFERROR(VLOOKUP($B48,'Cost Library'!$A$2:$Q$159,16,FALSE),0.1)))</f>
        <v>0</v>
      </c>
      <c r="AP48" s="3">
        <f t="shared" si="5"/>
        <v>0</v>
      </c>
      <c r="AQ48" s="32">
        <f t="shared" si="6"/>
        <v>0</v>
      </c>
      <c r="AR48" s="32">
        <f t="shared" si="7"/>
        <v>0</v>
      </c>
      <c r="AS48" s="32">
        <f t="shared" si="8"/>
        <v>0</v>
      </c>
      <c r="AT48" s="2" t="str">
        <f t="shared" si="9"/>
        <v/>
      </c>
      <c r="AU48" s="31" t="s">
        <v>116</v>
      </c>
      <c r="AV48" s="3">
        <f t="shared" si="10"/>
        <v>0</v>
      </c>
      <c r="AW48" s="3">
        <f t="shared" si="11"/>
        <v>0</v>
      </c>
      <c r="AX48" s="3">
        <f t="shared" si="12"/>
        <v>0</v>
      </c>
      <c r="AY48" s="3">
        <f t="shared" si="13"/>
        <v>0</v>
      </c>
      <c r="AZ48" s="3">
        <f t="shared" si="14"/>
        <v>0</v>
      </c>
      <c r="BA48" s="32">
        <f t="shared" si="15"/>
        <v>0</v>
      </c>
      <c r="BB48" s="2" t="str">
        <f t="shared" si="16"/>
        <v/>
      </c>
    </row>
    <row r="49" spans="1:54" ht="14.4">
      <c r="A49" s="13" t="s">
        <v>161</v>
      </c>
      <c r="B49" s="13"/>
      <c r="C49" s="14" t="str">
        <f>IFERROR(VLOOKUP($B49,'Cost Library'!$A$2:$M$159,2,FALSE),"")</f>
        <v/>
      </c>
      <c r="D49" s="14" t="str">
        <f>IFERROR(VLOOKUP($B49,'Cost Library'!$A$2:$M$159,3,FALSE),"")</f>
        <v/>
      </c>
      <c r="E49" s="13"/>
      <c r="F49" s="13"/>
      <c r="G49" s="13" t="str">
        <f>IFERROR(VLOOKUP($B49,'Cost Library'!$A$2:$M$159,5,FALSE),"")</f>
        <v/>
      </c>
      <c r="H49" s="13"/>
      <c r="I49" s="13"/>
      <c r="J49" s="13"/>
      <c r="K49" s="13"/>
      <c r="L49" s="13">
        <v>1</v>
      </c>
      <c r="M49" s="14" t="str">
        <f>IFERROR(VLOOKUP($B49,'Cost Library'!$A$2:$M$159,6,FALSE),"")</f>
        <v/>
      </c>
      <c r="N49" s="15">
        <f>IFERROR(VLOOKUP($B49,'Cost Library'!$A$2:$M$159,7,FALSE),0)</f>
        <v>0</v>
      </c>
      <c r="O49" s="15">
        <f>IFERROR(VLOOKUP($B49,'Cost Library'!$A$2:$M$159,8,FALSE),0)</f>
        <v>0</v>
      </c>
      <c r="P49" s="15">
        <f>IFERROR(VLOOKUP($B49,'Cost Library'!$A$2:$M$159,9,FALSE),0)</f>
        <v>0</v>
      </c>
      <c r="Q49" s="16"/>
      <c r="R49" s="16" t="s">
        <v>116</v>
      </c>
      <c r="S49" s="17">
        <f t="shared" si="0"/>
        <v>0</v>
      </c>
      <c r="T49" s="18">
        <f>'Project Inputs'!$C$15</f>
        <v>0.1</v>
      </c>
      <c r="U49" s="17">
        <f t="shared" si="1"/>
        <v>0</v>
      </c>
      <c r="V49" s="11" t="s">
        <v>247</v>
      </c>
      <c r="W49" s="14" t="str">
        <f>IFERROR(VLOOKUP($B49,'Cost Library'!$A$2:$M$159,10,FALSE),"")</f>
        <v/>
      </c>
      <c r="X49" s="11"/>
      <c r="Y49" s="11"/>
      <c r="Z49" s="11"/>
      <c r="AA49" s="11"/>
      <c r="AB49" s="11"/>
      <c r="AC49" s="11"/>
      <c r="AD49" s="30"/>
      <c r="AE49" s="31"/>
      <c r="AF49" s="3">
        <f t="shared" si="2"/>
        <v>0</v>
      </c>
      <c r="AG49" s="31"/>
      <c r="AH49" s="31"/>
      <c r="AI49" s="3">
        <f t="shared" si="3"/>
        <v>0</v>
      </c>
      <c r="AJ49" s="31"/>
      <c r="AK49" s="31"/>
      <c r="AL49" s="3">
        <f t="shared" si="4"/>
        <v>0</v>
      </c>
      <c r="AM49" s="3">
        <f>IF($A49&lt;&gt;"Yes",0,IF($R49="Detailed Breakdown",$AF49,$S49*IFERROR(VLOOKUP($B49,'Cost Library'!$A$2:$Q$159,14,FALSE),0.4)))</f>
        <v>0</v>
      </c>
      <c r="AN49" s="3">
        <f>IF($A49&lt;&gt;"Yes",0,IF($R49="Detailed Breakdown",$AI49,$S49*IFERROR(VLOOKUP($B49,'Cost Library'!$A$2:$Q$159,15,FALSE),0.5)))</f>
        <v>0</v>
      </c>
      <c r="AO49" s="3">
        <f>IF($A49&lt;&gt;"Yes",0,IF($R49="Detailed Breakdown",$AJ49+$AK49,$S49*IFERROR(VLOOKUP($B49,'Cost Library'!$A$2:$Q$159,16,FALSE),0.1)))</f>
        <v>0</v>
      </c>
      <c r="AP49" s="3">
        <f t="shared" si="5"/>
        <v>0</v>
      </c>
      <c r="AQ49" s="32">
        <f t="shared" si="6"/>
        <v>0</v>
      </c>
      <c r="AR49" s="32">
        <f t="shared" si="7"/>
        <v>0</v>
      </c>
      <c r="AS49" s="32">
        <f t="shared" si="8"/>
        <v>0</v>
      </c>
      <c r="AT49" s="2" t="str">
        <f t="shared" si="9"/>
        <v/>
      </c>
      <c r="AU49" s="31" t="s">
        <v>116</v>
      </c>
      <c r="AV49" s="3">
        <f t="shared" si="10"/>
        <v>0</v>
      </c>
      <c r="AW49" s="3">
        <f t="shared" si="11"/>
        <v>0</v>
      </c>
      <c r="AX49" s="3">
        <f t="shared" si="12"/>
        <v>0</v>
      </c>
      <c r="AY49" s="3">
        <f t="shared" si="13"/>
        <v>0</v>
      </c>
      <c r="AZ49" s="3">
        <f t="shared" si="14"/>
        <v>0</v>
      </c>
      <c r="BA49" s="32">
        <f t="shared" si="15"/>
        <v>0</v>
      </c>
      <c r="BB49" s="2" t="str">
        <f t="shared" si="16"/>
        <v/>
      </c>
    </row>
    <row r="50" spans="1:54" ht="14.4">
      <c r="A50" s="13" t="s">
        <v>161</v>
      </c>
      <c r="B50" s="13"/>
      <c r="C50" s="14" t="str">
        <f>IFERROR(VLOOKUP($B50,'Cost Library'!$A$2:$M$159,2,FALSE),"")</f>
        <v/>
      </c>
      <c r="D50" s="14" t="str">
        <f>IFERROR(VLOOKUP($B50,'Cost Library'!$A$2:$M$159,3,FALSE),"")</f>
        <v/>
      </c>
      <c r="E50" s="13"/>
      <c r="F50" s="13"/>
      <c r="G50" s="13" t="str">
        <f>IFERROR(VLOOKUP($B50,'Cost Library'!$A$2:$M$159,5,FALSE),"")</f>
        <v/>
      </c>
      <c r="H50" s="13"/>
      <c r="I50" s="13"/>
      <c r="J50" s="13"/>
      <c r="K50" s="13"/>
      <c r="L50" s="13">
        <v>1</v>
      </c>
      <c r="M50" s="14" t="str">
        <f>IFERROR(VLOOKUP($B50,'Cost Library'!$A$2:$M$159,6,FALSE),"")</f>
        <v/>
      </c>
      <c r="N50" s="15">
        <f>IFERROR(VLOOKUP($B50,'Cost Library'!$A$2:$M$159,7,FALSE),0)</f>
        <v>0</v>
      </c>
      <c r="O50" s="15">
        <f>IFERROR(VLOOKUP($B50,'Cost Library'!$A$2:$M$159,8,FALSE),0)</f>
        <v>0</v>
      </c>
      <c r="P50" s="15">
        <f>IFERROR(VLOOKUP($B50,'Cost Library'!$A$2:$M$159,9,FALSE),0)</f>
        <v>0</v>
      </c>
      <c r="Q50" s="16"/>
      <c r="R50" s="16" t="s">
        <v>116</v>
      </c>
      <c r="S50" s="17">
        <f t="shared" si="0"/>
        <v>0</v>
      </c>
      <c r="T50" s="18">
        <f>'Project Inputs'!$C$15</f>
        <v>0.1</v>
      </c>
      <c r="U50" s="17">
        <f t="shared" si="1"/>
        <v>0</v>
      </c>
      <c r="V50" s="11" t="s">
        <v>247</v>
      </c>
      <c r="W50" s="14" t="str">
        <f>IFERROR(VLOOKUP($B50,'Cost Library'!$A$2:$M$159,10,FALSE),"")</f>
        <v/>
      </c>
      <c r="X50" s="11"/>
      <c r="Y50" s="11"/>
      <c r="Z50" s="11"/>
      <c r="AA50" s="11"/>
      <c r="AB50" s="11"/>
      <c r="AC50" s="11"/>
      <c r="AD50" s="30"/>
      <c r="AE50" s="31"/>
      <c r="AF50" s="3">
        <f t="shared" si="2"/>
        <v>0</v>
      </c>
      <c r="AG50" s="31"/>
      <c r="AH50" s="31"/>
      <c r="AI50" s="3">
        <f t="shared" si="3"/>
        <v>0</v>
      </c>
      <c r="AJ50" s="31"/>
      <c r="AK50" s="31"/>
      <c r="AL50" s="3">
        <f t="shared" si="4"/>
        <v>0</v>
      </c>
      <c r="AM50" s="3">
        <f>IF($A50&lt;&gt;"Yes",0,IF($R50="Detailed Breakdown",$AF50,$S50*IFERROR(VLOOKUP($B50,'Cost Library'!$A$2:$Q$159,14,FALSE),0.4)))</f>
        <v>0</v>
      </c>
      <c r="AN50" s="3">
        <f>IF($A50&lt;&gt;"Yes",0,IF($R50="Detailed Breakdown",$AI50,$S50*IFERROR(VLOOKUP($B50,'Cost Library'!$A$2:$Q$159,15,FALSE),0.5)))</f>
        <v>0</v>
      </c>
      <c r="AO50" s="3">
        <f>IF($A50&lt;&gt;"Yes",0,IF($R50="Detailed Breakdown",$AJ50+$AK50,$S50*IFERROR(VLOOKUP($B50,'Cost Library'!$A$2:$Q$159,16,FALSE),0.1)))</f>
        <v>0</v>
      </c>
      <c r="AP50" s="3">
        <f t="shared" si="5"/>
        <v>0</v>
      </c>
      <c r="AQ50" s="32">
        <f t="shared" si="6"/>
        <v>0</v>
      </c>
      <c r="AR50" s="32">
        <f t="shared" si="7"/>
        <v>0</v>
      </c>
      <c r="AS50" s="32">
        <f t="shared" si="8"/>
        <v>0</v>
      </c>
      <c r="AT50" s="2" t="str">
        <f t="shared" si="9"/>
        <v/>
      </c>
      <c r="AU50" s="31" t="s">
        <v>116</v>
      </c>
      <c r="AV50" s="3">
        <f t="shared" si="10"/>
        <v>0</v>
      </c>
      <c r="AW50" s="3">
        <f t="shared" si="11"/>
        <v>0</v>
      </c>
      <c r="AX50" s="3">
        <f t="shared" si="12"/>
        <v>0</v>
      </c>
      <c r="AY50" s="3">
        <f t="shared" si="13"/>
        <v>0</v>
      </c>
      <c r="AZ50" s="3">
        <f t="shared" si="14"/>
        <v>0</v>
      </c>
      <c r="BA50" s="32">
        <f t="shared" si="15"/>
        <v>0</v>
      </c>
      <c r="BB50" s="2" t="str">
        <f t="shared" si="16"/>
        <v/>
      </c>
    </row>
    <row r="51" spans="1:54" ht="14.4">
      <c r="A51" s="13" t="s">
        <v>161</v>
      </c>
      <c r="B51" s="13"/>
      <c r="C51" s="14" t="str">
        <f>IFERROR(VLOOKUP($B51,'Cost Library'!$A$2:$M$159,2,FALSE),"")</f>
        <v/>
      </c>
      <c r="D51" s="14" t="str">
        <f>IFERROR(VLOOKUP($B51,'Cost Library'!$A$2:$M$159,3,FALSE),"")</f>
        <v/>
      </c>
      <c r="E51" s="13"/>
      <c r="F51" s="13"/>
      <c r="G51" s="13" t="str">
        <f>IFERROR(VLOOKUP($B51,'Cost Library'!$A$2:$M$159,5,FALSE),"")</f>
        <v/>
      </c>
      <c r="H51" s="13"/>
      <c r="I51" s="13"/>
      <c r="J51" s="13"/>
      <c r="K51" s="13"/>
      <c r="L51" s="13">
        <v>1</v>
      </c>
      <c r="M51" s="14" t="str">
        <f>IFERROR(VLOOKUP($B51,'Cost Library'!$A$2:$M$159,6,FALSE),"")</f>
        <v/>
      </c>
      <c r="N51" s="15">
        <f>IFERROR(VLOOKUP($B51,'Cost Library'!$A$2:$M$159,7,FALSE),0)</f>
        <v>0</v>
      </c>
      <c r="O51" s="15">
        <f>IFERROR(VLOOKUP($B51,'Cost Library'!$A$2:$M$159,8,FALSE),0)</f>
        <v>0</v>
      </c>
      <c r="P51" s="15">
        <f>IFERROR(VLOOKUP($B51,'Cost Library'!$A$2:$M$159,9,FALSE),0)</f>
        <v>0</v>
      </c>
      <c r="Q51" s="16"/>
      <c r="R51" s="16" t="s">
        <v>116</v>
      </c>
      <c r="S51" s="17">
        <f t="shared" si="0"/>
        <v>0</v>
      </c>
      <c r="T51" s="18">
        <f>'Project Inputs'!$C$15</f>
        <v>0.1</v>
      </c>
      <c r="U51" s="17">
        <f t="shared" si="1"/>
        <v>0</v>
      </c>
      <c r="V51" s="11" t="s">
        <v>247</v>
      </c>
      <c r="W51" s="14" t="str">
        <f>IFERROR(VLOOKUP($B51,'Cost Library'!$A$2:$M$159,10,FALSE),"")</f>
        <v/>
      </c>
      <c r="X51" s="11"/>
      <c r="Y51" s="11"/>
      <c r="Z51" s="11"/>
      <c r="AA51" s="11"/>
      <c r="AB51" s="11"/>
      <c r="AC51" s="11"/>
      <c r="AD51" s="30"/>
      <c r="AE51" s="31"/>
      <c r="AF51" s="3">
        <f t="shared" si="2"/>
        <v>0</v>
      </c>
      <c r="AG51" s="31"/>
      <c r="AH51" s="31"/>
      <c r="AI51" s="3">
        <f t="shared" si="3"/>
        <v>0</v>
      </c>
      <c r="AJ51" s="31"/>
      <c r="AK51" s="31"/>
      <c r="AL51" s="3">
        <f t="shared" si="4"/>
        <v>0</v>
      </c>
      <c r="AM51" s="3">
        <f>IF($A51&lt;&gt;"Yes",0,IF($R51="Detailed Breakdown",$AF51,$S51*IFERROR(VLOOKUP($B51,'Cost Library'!$A$2:$Q$159,14,FALSE),0.4)))</f>
        <v>0</v>
      </c>
      <c r="AN51" s="3">
        <f>IF($A51&lt;&gt;"Yes",0,IF($R51="Detailed Breakdown",$AI51,$S51*IFERROR(VLOOKUP($B51,'Cost Library'!$A$2:$Q$159,15,FALSE),0.5)))</f>
        <v>0</v>
      </c>
      <c r="AO51" s="3">
        <f>IF($A51&lt;&gt;"Yes",0,IF($R51="Detailed Breakdown",$AJ51+$AK51,$S51*IFERROR(VLOOKUP($B51,'Cost Library'!$A$2:$Q$159,16,FALSE),0.1)))</f>
        <v>0</v>
      </c>
      <c r="AP51" s="3">
        <f t="shared" si="5"/>
        <v>0</v>
      </c>
      <c r="AQ51" s="32">
        <f t="shared" si="6"/>
        <v>0</v>
      </c>
      <c r="AR51" s="32">
        <f t="shared" si="7"/>
        <v>0</v>
      </c>
      <c r="AS51" s="32">
        <f t="shared" si="8"/>
        <v>0</v>
      </c>
      <c r="AT51" s="2" t="str">
        <f t="shared" si="9"/>
        <v/>
      </c>
      <c r="AU51" s="31" t="s">
        <v>116</v>
      </c>
      <c r="AV51" s="3">
        <f t="shared" si="10"/>
        <v>0</v>
      </c>
      <c r="AW51" s="3">
        <f t="shared" si="11"/>
        <v>0</v>
      </c>
      <c r="AX51" s="3">
        <f t="shared" si="12"/>
        <v>0</v>
      </c>
      <c r="AY51" s="3">
        <f t="shared" si="13"/>
        <v>0</v>
      </c>
      <c r="AZ51" s="3">
        <f t="shared" si="14"/>
        <v>0</v>
      </c>
      <c r="BA51" s="32">
        <f t="shared" si="15"/>
        <v>0</v>
      </c>
      <c r="BB51" s="2" t="str">
        <f t="shared" si="16"/>
        <v/>
      </c>
    </row>
    <row r="52" spans="1:54" ht="14.4">
      <c r="A52" s="13" t="s">
        <v>161</v>
      </c>
      <c r="B52" s="13"/>
      <c r="C52" s="14" t="str">
        <f>IFERROR(VLOOKUP($B52,'Cost Library'!$A$2:$M$159,2,FALSE),"")</f>
        <v/>
      </c>
      <c r="D52" s="14" t="str">
        <f>IFERROR(VLOOKUP($B52,'Cost Library'!$A$2:$M$159,3,FALSE),"")</f>
        <v/>
      </c>
      <c r="E52" s="13"/>
      <c r="F52" s="13"/>
      <c r="G52" s="13" t="str">
        <f>IFERROR(VLOOKUP($B52,'Cost Library'!$A$2:$M$159,5,FALSE),"")</f>
        <v/>
      </c>
      <c r="H52" s="13"/>
      <c r="I52" s="13"/>
      <c r="J52" s="13"/>
      <c r="K52" s="13"/>
      <c r="L52" s="13">
        <v>1</v>
      </c>
      <c r="M52" s="14" t="str">
        <f>IFERROR(VLOOKUP($B52,'Cost Library'!$A$2:$M$159,6,FALSE),"")</f>
        <v/>
      </c>
      <c r="N52" s="15">
        <f>IFERROR(VLOOKUP($B52,'Cost Library'!$A$2:$M$159,7,FALSE),0)</f>
        <v>0</v>
      </c>
      <c r="O52" s="15">
        <f>IFERROR(VLOOKUP($B52,'Cost Library'!$A$2:$M$159,8,FALSE),0)</f>
        <v>0</v>
      </c>
      <c r="P52" s="15">
        <f>IFERROR(VLOOKUP($B52,'Cost Library'!$A$2:$M$159,9,FALSE),0)</f>
        <v>0</v>
      </c>
      <c r="Q52" s="16"/>
      <c r="R52" s="16" t="s">
        <v>116</v>
      </c>
      <c r="S52" s="17">
        <f t="shared" si="0"/>
        <v>0</v>
      </c>
      <c r="T52" s="18">
        <f>'Project Inputs'!$C$15</f>
        <v>0.1</v>
      </c>
      <c r="U52" s="17">
        <f t="shared" si="1"/>
        <v>0</v>
      </c>
      <c r="V52" s="11" t="s">
        <v>247</v>
      </c>
      <c r="W52" s="14" t="str">
        <f>IFERROR(VLOOKUP($B52,'Cost Library'!$A$2:$M$159,10,FALSE),"")</f>
        <v/>
      </c>
      <c r="X52" s="11"/>
      <c r="Y52" s="11"/>
      <c r="Z52" s="11"/>
      <c r="AA52" s="11"/>
      <c r="AB52" s="11"/>
      <c r="AC52" s="11"/>
      <c r="AD52" s="30"/>
      <c r="AE52" s="31"/>
      <c r="AF52" s="3">
        <f t="shared" si="2"/>
        <v>0</v>
      </c>
      <c r="AG52" s="31"/>
      <c r="AH52" s="31"/>
      <c r="AI52" s="3">
        <f t="shared" si="3"/>
        <v>0</v>
      </c>
      <c r="AJ52" s="31"/>
      <c r="AK52" s="31"/>
      <c r="AL52" s="3">
        <f t="shared" si="4"/>
        <v>0</v>
      </c>
      <c r="AM52" s="3">
        <f>IF($A52&lt;&gt;"Yes",0,IF($R52="Detailed Breakdown",$AF52,$S52*IFERROR(VLOOKUP($B52,'Cost Library'!$A$2:$Q$159,14,FALSE),0.4)))</f>
        <v>0</v>
      </c>
      <c r="AN52" s="3">
        <f>IF($A52&lt;&gt;"Yes",0,IF($R52="Detailed Breakdown",$AI52,$S52*IFERROR(VLOOKUP($B52,'Cost Library'!$A$2:$Q$159,15,FALSE),0.5)))</f>
        <v>0</v>
      </c>
      <c r="AO52" s="3">
        <f>IF($A52&lt;&gt;"Yes",0,IF($R52="Detailed Breakdown",$AJ52+$AK52,$S52*IFERROR(VLOOKUP($B52,'Cost Library'!$A$2:$Q$159,16,FALSE),0.1)))</f>
        <v>0</v>
      </c>
      <c r="AP52" s="3">
        <f t="shared" si="5"/>
        <v>0</v>
      </c>
      <c r="AQ52" s="32">
        <f t="shared" si="6"/>
        <v>0</v>
      </c>
      <c r="AR52" s="32">
        <f t="shared" si="7"/>
        <v>0</v>
      </c>
      <c r="AS52" s="32">
        <f t="shared" si="8"/>
        <v>0</v>
      </c>
      <c r="AT52" s="2" t="str">
        <f t="shared" si="9"/>
        <v/>
      </c>
      <c r="AU52" s="31" t="s">
        <v>116</v>
      </c>
      <c r="AV52" s="3">
        <f t="shared" si="10"/>
        <v>0</v>
      </c>
      <c r="AW52" s="3">
        <f t="shared" si="11"/>
        <v>0</v>
      </c>
      <c r="AX52" s="3">
        <f t="shared" si="12"/>
        <v>0</v>
      </c>
      <c r="AY52" s="3">
        <f t="shared" si="13"/>
        <v>0</v>
      </c>
      <c r="AZ52" s="3">
        <f t="shared" si="14"/>
        <v>0</v>
      </c>
      <c r="BA52" s="32">
        <f t="shared" si="15"/>
        <v>0</v>
      </c>
      <c r="BB52" s="2" t="str">
        <f t="shared" si="16"/>
        <v/>
      </c>
    </row>
    <row r="53" spans="1:54" ht="14.4">
      <c r="A53" s="13" t="s">
        <v>161</v>
      </c>
      <c r="B53" s="13"/>
      <c r="C53" s="14" t="str">
        <f>IFERROR(VLOOKUP($B53,'Cost Library'!$A$2:$M$159,2,FALSE),"")</f>
        <v/>
      </c>
      <c r="D53" s="14" t="str">
        <f>IFERROR(VLOOKUP($B53,'Cost Library'!$A$2:$M$159,3,FALSE),"")</f>
        <v/>
      </c>
      <c r="E53" s="13"/>
      <c r="F53" s="13"/>
      <c r="G53" s="13" t="str">
        <f>IFERROR(VLOOKUP($B53,'Cost Library'!$A$2:$M$159,5,FALSE),"")</f>
        <v/>
      </c>
      <c r="H53" s="13"/>
      <c r="I53" s="13"/>
      <c r="J53" s="13"/>
      <c r="K53" s="13"/>
      <c r="L53" s="13">
        <v>1</v>
      </c>
      <c r="M53" s="14" t="str">
        <f>IFERROR(VLOOKUP($B53,'Cost Library'!$A$2:$M$159,6,FALSE),"")</f>
        <v/>
      </c>
      <c r="N53" s="15">
        <f>IFERROR(VLOOKUP($B53,'Cost Library'!$A$2:$M$159,7,FALSE),0)</f>
        <v>0</v>
      </c>
      <c r="O53" s="15">
        <f>IFERROR(VLOOKUP($B53,'Cost Library'!$A$2:$M$159,8,FALSE),0)</f>
        <v>0</v>
      </c>
      <c r="P53" s="15">
        <f>IFERROR(VLOOKUP($B53,'Cost Library'!$A$2:$M$159,9,FALSE),0)</f>
        <v>0</v>
      </c>
      <c r="Q53" s="16"/>
      <c r="R53" s="16" t="s">
        <v>116</v>
      </c>
      <c r="S53" s="17">
        <f t="shared" si="0"/>
        <v>0</v>
      </c>
      <c r="T53" s="18">
        <f>'Project Inputs'!$C$15</f>
        <v>0.1</v>
      </c>
      <c r="U53" s="17">
        <f t="shared" si="1"/>
        <v>0</v>
      </c>
      <c r="V53" s="11" t="s">
        <v>247</v>
      </c>
      <c r="W53" s="14" t="str">
        <f>IFERROR(VLOOKUP($B53,'Cost Library'!$A$2:$M$159,10,FALSE),"")</f>
        <v/>
      </c>
      <c r="X53" s="11"/>
      <c r="Y53" s="11"/>
      <c r="Z53" s="11"/>
      <c r="AA53" s="11"/>
      <c r="AB53" s="11"/>
      <c r="AC53" s="11"/>
      <c r="AD53" s="30"/>
      <c r="AE53" s="31"/>
      <c r="AF53" s="3">
        <f t="shared" si="2"/>
        <v>0</v>
      </c>
      <c r="AG53" s="31"/>
      <c r="AH53" s="31"/>
      <c r="AI53" s="3">
        <f t="shared" si="3"/>
        <v>0</v>
      </c>
      <c r="AJ53" s="31"/>
      <c r="AK53" s="31"/>
      <c r="AL53" s="3">
        <f t="shared" si="4"/>
        <v>0</v>
      </c>
      <c r="AM53" s="3">
        <f>IF($A53&lt;&gt;"Yes",0,IF($R53="Detailed Breakdown",$AF53,$S53*IFERROR(VLOOKUP($B53,'Cost Library'!$A$2:$Q$159,14,FALSE),0.4)))</f>
        <v>0</v>
      </c>
      <c r="AN53" s="3">
        <f>IF($A53&lt;&gt;"Yes",0,IF($R53="Detailed Breakdown",$AI53,$S53*IFERROR(VLOOKUP($B53,'Cost Library'!$A$2:$Q$159,15,FALSE),0.5)))</f>
        <v>0</v>
      </c>
      <c r="AO53" s="3">
        <f>IF($A53&lt;&gt;"Yes",0,IF($R53="Detailed Breakdown",$AJ53+$AK53,$S53*IFERROR(VLOOKUP($B53,'Cost Library'!$A$2:$Q$159,16,FALSE),0.1)))</f>
        <v>0</v>
      </c>
      <c r="AP53" s="3">
        <f t="shared" si="5"/>
        <v>0</v>
      </c>
      <c r="AQ53" s="32">
        <f t="shared" si="6"/>
        <v>0</v>
      </c>
      <c r="AR53" s="32">
        <f t="shared" si="7"/>
        <v>0</v>
      </c>
      <c r="AS53" s="32">
        <f t="shared" si="8"/>
        <v>0</v>
      </c>
      <c r="AT53" s="2" t="str">
        <f t="shared" si="9"/>
        <v/>
      </c>
      <c r="AU53" s="31" t="s">
        <v>116</v>
      </c>
      <c r="AV53" s="3">
        <f t="shared" si="10"/>
        <v>0</v>
      </c>
      <c r="AW53" s="3">
        <f t="shared" si="11"/>
        <v>0</v>
      </c>
      <c r="AX53" s="3">
        <f t="shared" si="12"/>
        <v>0</v>
      </c>
      <c r="AY53" s="3">
        <f t="shared" si="13"/>
        <v>0</v>
      </c>
      <c r="AZ53" s="3">
        <f t="shared" si="14"/>
        <v>0</v>
      </c>
      <c r="BA53" s="32">
        <f t="shared" si="15"/>
        <v>0</v>
      </c>
      <c r="BB53" s="2" t="str">
        <f t="shared" si="16"/>
        <v/>
      </c>
    </row>
    <row r="54" spans="1:54" ht="14.4">
      <c r="A54" s="13" t="s">
        <v>161</v>
      </c>
      <c r="B54" s="13"/>
      <c r="C54" s="14" t="str">
        <f>IFERROR(VLOOKUP($B54,'Cost Library'!$A$2:$M$159,2,FALSE),"")</f>
        <v/>
      </c>
      <c r="D54" s="14" t="str">
        <f>IFERROR(VLOOKUP($B54,'Cost Library'!$A$2:$M$159,3,FALSE),"")</f>
        <v/>
      </c>
      <c r="E54" s="13"/>
      <c r="F54" s="13"/>
      <c r="G54" s="13" t="str">
        <f>IFERROR(VLOOKUP($B54,'Cost Library'!$A$2:$M$159,5,FALSE),"")</f>
        <v/>
      </c>
      <c r="H54" s="13"/>
      <c r="I54" s="13"/>
      <c r="J54" s="13"/>
      <c r="K54" s="13"/>
      <c r="L54" s="13">
        <v>1</v>
      </c>
      <c r="M54" s="14" t="str">
        <f>IFERROR(VLOOKUP($B54,'Cost Library'!$A$2:$M$159,6,FALSE),"")</f>
        <v/>
      </c>
      <c r="N54" s="15">
        <f>IFERROR(VLOOKUP($B54,'Cost Library'!$A$2:$M$159,7,FALSE),0)</f>
        <v>0</v>
      </c>
      <c r="O54" s="15">
        <f>IFERROR(VLOOKUP($B54,'Cost Library'!$A$2:$M$159,8,FALSE),0)</f>
        <v>0</v>
      </c>
      <c r="P54" s="15">
        <f>IFERROR(VLOOKUP($B54,'Cost Library'!$A$2:$M$159,9,FALSE),0)</f>
        <v>0</v>
      </c>
      <c r="Q54" s="16"/>
      <c r="R54" s="16" t="s">
        <v>116</v>
      </c>
      <c r="S54" s="17">
        <f t="shared" si="0"/>
        <v>0</v>
      </c>
      <c r="T54" s="18">
        <f>'Project Inputs'!$C$15</f>
        <v>0.1</v>
      </c>
      <c r="U54" s="17">
        <f t="shared" si="1"/>
        <v>0</v>
      </c>
      <c r="V54" s="11" t="s">
        <v>247</v>
      </c>
      <c r="W54" s="14" t="str">
        <f>IFERROR(VLOOKUP($B54,'Cost Library'!$A$2:$M$159,10,FALSE),"")</f>
        <v/>
      </c>
      <c r="X54" s="11"/>
      <c r="Y54" s="11"/>
      <c r="Z54" s="11"/>
      <c r="AA54" s="11"/>
      <c r="AB54" s="11"/>
      <c r="AC54" s="11"/>
      <c r="AD54" s="30"/>
      <c r="AE54" s="31"/>
      <c r="AF54" s="3">
        <f t="shared" si="2"/>
        <v>0</v>
      </c>
      <c r="AG54" s="31"/>
      <c r="AH54" s="31"/>
      <c r="AI54" s="3">
        <f t="shared" si="3"/>
        <v>0</v>
      </c>
      <c r="AJ54" s="31"/>
      <c r="AK54" s="31"/>
      <c r="AL54" s="3">
        <f t="shared" si="4"/>
        <v>0</v>
      </c>
      <c r="AM54" s="3">
        <f>IF($A54&lt;&gt;"Yes",0,IF($R54="Detailed Breakdown",$AF54,$S54*IFERROR(VLOOKUP($B54,'Cost Library'!$A$2:$Q$159,14,FALSE),0.4)))</f>
        <v>0</v>
      </c>
      <c r="AN54" s="3">
        <f>IF($A54&lt;&gt;"Yes",0,IF($R54="Detailed Breakdown",$AI54,$S54*IFERROR(VLOOKUP($B54,'Cost Library'!$A$2:$Q$159,15,FALSE),0.5)))</f>
        <v>0</v>
      </c>
      <c r="AO54" s="3">
        <f>IF($A54&lt;&gt;"Yes",0,IF($R54="Detailed Breakdown",$AJ54+$AK54,$S54*IFERROR(VLOOKUP($B54,'Cost Library'!$A$2:$Q$159,16,FALSE),0.1)))</f>
        <v>0</v>
      </c>
      <c r="AP54" s="3">
        <f t="shared" si="5"/>
        <v>0</v>
      </c>
      <c r="AQ54" s="32">
        <f t="shared" si="6"/>
        <v>0</v>
      </c>
      <c r="AR54" s="32">
        <f t="shared" si="7"/>
        <v>0</v>
      </c>
      <c r="AS54" s="32">
        <f t="shared" si="8"/>
        <v>0</v>
      </c>
      <c r="AT54" s="2" t="str">
        <f t="shared" si="9"/>
        <v/>
      </c>
      <c r="AU54" s="31" t="s">
        <v>116</v>
      </c>
      <c r="AV54" s="3">
        <f t="shared" si="10"/>
        <v>0</v>
      </c>
      <c r="AW54" s="3">
        <f t="shared" si="11"/>
        <v>0</v>
      </c>
      <c r="AX54" s="3">
        <f t="shared" si="12"/>
        <v>0</v>
      </c>
      <c r="AY54" s="3">
        <f t="shared" si="13"/>
        <v>0</v>
      </c>
      <c r="AZ54" s="3">
        <f t="shared" si="14"/>
        <v>0</v>
      </c>
      <c r="BA54" s="32">
        <f t="shared" si="15"/>
        <v>0</v>
      </c>
      <c r="BB54" s="2" t="str">
        <f t="shared" si="16"/>
        <v/>
      </c>
    </row>
    <row r="55" spans="1:54" ht="14.4">
      <c r="A55" s="13" t="s">
        <v>161</v>
      </c>
      <c r="B55" s="13"/>
      <c r="C55" s="14" t="str">
        <f>IFERROR(VLOOKUP($B55,'Cost Library'!$A$2:$M$159,2,FALSE),"")</f>
        <v/>
      </c>
      <c r="D55" s="14" t="str">
        <f>IFERROR(VLOOKUP($B55,'Cost Library'!$A$2:$M$159,3,FALSE),"")</f>
        <v/>
      </c>
      <c r="E55" s="13"/>
      <c r="F55" s="13"/>
      <c r="G55" s="13" t="str">
        <f>IFERROR(VLOOKUP($B55,'Cost Library'!$A$2:$M$159,5,FALSE),"")</f>
        <v/>
      </c>
      <c r="H55" s="13"/>
      <c r="I55" s="13"/>
      <c r="J55" s="13"/>
      <c r="K55" s="13"/>
      <c r="L55" s="13">
        <v>1</v>
      </c>
      <c r="M55" s="14" t="str">
        <f>IFERROR(VLOOKUP($B55,'Cost Library'!$A$2:$M$159,6,FALSE),"")</f>
        <v/>
      </c>
      <c r="N55" s="15">
        <f>IFERROR(VLOOKUP($B55,'Cost Library'!$A$2:$M$159,7,FALSE),0)</f>
        <v>0</v>
      </c>
      <c r="O55" s="15">
        <f>IFERROR(VLOOKUP($B55,'Cost Library'!$A$2:$M$159,8,FALSE),0)</f>
        <v>0</v>
      </c>
      <c r="P55" s="15">
        <f>IFERROR(VLOOKUP($B55,'Cost Library'!$A$2:$M$159,9,FALSE),0)</f>
        <v>0</v>
      </c>
      <c r="Q55" s="16"/>
      <c r="R55" s="16" t="s">
        <v>116</v>
      </c>
      <c r="S55" s="17">
        <f t="shared" si="0"/>
        <v>0</v>
      </c>
      <c r="T55" s="18">
        <f>'Project Inputs'!$C$15</f>
        <v>0.1</v>
      </c>
      <c r="U55" s="17">
        <f t="shared" si="1"/>
        <v>0</v>
      </c>
      <c r="V55" s="11" t="s">
        <v>247</v>
      </c>
      <c r="W55" s="14" t="str">
        <f>IFERROR(VLOOKUP($B55,'Cost Library'!$A$2:$M$159,10,FALSE),"")</f>
        <v/>
      </c>
      <c r="X55" s="11"/>
      <c r="Y55" s="11"/>
      <c r="Z55" s="11"/>
      <c r="AA55" s="11"/>
      <c r="AB55" s="11"/>
      <c r="AC55" s="11"/>
      <c r="AD55" s="30"/>
      <c r="AE55" s="31"/>
      <c r="AF55" s="3">
        <f t="shared" si="2"/>
        <v>0</v>
      </c>
      <c r="AG55" s="31"/>
      <c r="AH55" s="31"/>
      <c r="AI55" s="3">
        <f t="shared" si="3"/>
        <v>0</v>
      </c>
      <c r="AJ55" s="31"/>
      <c r="AK55" s="31"/>
      <c r="AL55" s="3">
        <f t="shared" si="4"/>
        <v>0</v>
      </c>
      <c r="AM55" s="3">
        <f>IF($A55&lt;&gt;"Yes",0,IF($R55="Detailed Breakdown",$AF55,$S55*IFERROR(VLOOKUP($B55,'Cost Library'!$A$2:$Q$159,14,FALSE),0.4)))</f>
        <v>0</v>
      </c>
      <c r="AN55" s="3">
        <f>IF($A55&lt;&gt;"Yes",0,IF($R55="Detailed Breakdown",$AI55,$S55*IFERROR(VLOOKUP($B55,'Cost Library'!$A$2:$Q$159,15,FALSE),0.5)))</f>
        <v>0</v>
      </c>
      <c r="AO55" s="3">
        <f>IF($A55&lt;&gt;"Yes",0,IF($R55="Detailed Breakdown",$AJ55+$AK55,$S55*IFERROR(VLOOKUP($B55,'Cost Library'!$A$2:$Q$159,16,FALSE),0.1)))</f>
        <v>0</v>
      </c>
      <c r="AP55" s="3">
        <f t="shared" si="5"/>
        <v>0</v>
      </c>
      <c r="AQ55" s="32">
        <f t="shared" si="6"/>
        <v>0</v>
      </c>
      <c r="AR55" s="32">
        <f t="shared" si="7"/>
        <v>0</v>
      </c>
      <c r="AS55" s="32">
        <f t="shared" si="8"/>
        <v>0</v>
      </c>
      <c r="AT55" s="2" t="str">
        <f t="shared" si="9"/>
        <v/>
      </c>
      <c r="AU55" s="31" t="s">
        <v>116</v>
      </c>
      <c r="AV55" s="3">
        <f t="shared" si="10"/>
        <v>0</v>
      </c>
      <c r="AW55" s="3">
        <f t="shared" si="11"/>
        <v>0</v>
      </c>
      <c r="AX55" s="3">
        <f t="shared" si="12"/>
        <v>0</v>
      </c>
      <c r="AY55" s="3">
        <f t="shared" si="13"/>
        <v>0</v>
      </c>
      <c r="AZ55" s="3">
        <f t="shared" si="14"/>
        <v>0</v>
      </c>
      <c r="BA55" s="32">
        <f t="shared" si="15"/>
        <v>0</v>
      </c>
      <c r="BB55" s="2" t="str">
        <f t="shared" si="16"/>
        <v/>
      </c>
    </row>
    <row r="56" spans="1:54" ht="14.4">
      <c r="A56" s="13" t="s">
        <v>161</v>
      </c>
      <c r="B56" s="13"/>
      <c r="C56" s="14" t="str">
        <f>IFERROR(VLOOKUP($B56,'Cost Library'!$A$2:$M$159,2,FALSE),"")</f>
        <v/>
      </c>
      <c r="D56" s="14" t="str">
        <f>IFERROR(VLOOKUP($B56,'Cost Library'!$A$2:$M$159,3,FALSE),"")</f>
        <v/>
      </c>
      <c r="E56" s="13"/>
      <c r="F56" s="13"/>
      <c r="G56" s="13" t="str">
        <f>IFERROR(VLOOKUP($B56,'Cost Library'!$A$2:$M$159,5,FALSE),"")</f>
        <v/>
      </c>
      <c r="H56" s="13"/>
      <c r="I56" s="13"/>
      <c r="J56" s="13"/>
      <c r="K56" s="13"/>
      <c r="L56" s="13">
        <v>1</v>
      </c>
      <c r="M56" s="14" t="str">
        <f>IFERROR(VLOOKUP($B56,'Cost Library'!$A$2:$M$159,6,FALSE),"")</f>
        <v/>
      </c>
      <c r="N56" s="15">
        <f>IFERROR(VLOOKUP($B56,'Cost Library'!$A$2:$M$159,7,FALSE),0)</f>
        <v>0</v>
      </c>
      <c r="O56" s="15">
        <f>IFERROR(VLOOKUP($B56,'Cost Library'!$A$2:$M$159,8,FALSE),0)</f>
        <v>0</v>
      </c>
      <c r="P56" s="15">
        <f>IFERROR(VLOOKUP($B56,'Cost Library'!$A$2:$M$159,9,FALSE),0)</f>
        <v>0</v>
      </c>
      <c r="Q56" s="16"/>
      <c r="R56" s="16" t="s">
        <v>116</v>
      </c>
      <c r="S56" s="17">
        <f t="shared" si="0"/>
        <v>0</v>
      </c>
      <c r="T56" s="18">
        <f>'Project Inputs'!$C$15</f>
        <v>0.1</v>
      </c>
      <c r="U56" s="17">
        <f t="shared" si="1"/>
        <v>0</v>
      </c>
      <c r="V56" s="11" t="s">
        <v>247</v>
      </c>
      <c r="W56" s="14" t="str">
        <f>IFERROR(VLOOKUP($B56,'Cost Library'!$A$2:$M$159,10,FALSE),"")</f>
        <v/>
      </c>
      <c r="X56" s="11"/>
      <c r="Y56" s="11"/>
      <c r="Z56" s="11"/>
      <c r="AA56" s="11"/>
      <c r="AB56" s="11"/>
      <c r="AC56" s="11"/>
      <c r="AD56" s="30"/>
      <c r="AE56" s="31"/>
      <c r="AF56" s="3">
        <f t="shared" si="2"/>
        <v>0</v>
      </c>
      <c r="AG56" s="31"/>
      <c r="AH56" s="31"/>
      <c r="AI56" s="3">
        <f t="shared" si="3"/>
        <v>0</v>
      </c>
      <c r="AJ56" s="31"/>
      <c r="AK56" s="31"/>
      <c r="AL56" s="3">
        <f t="shared" si="4"/>
        <v>0</v>
      </c>
      <c r="AM56" s="3">
        <f>IF($A56&lt;&gt;"Yes",0,IF($R56="Detailed Breakdown",$AF56,$S56*IFERROR(VLOOKUP($B56,'Cost Library'!$A$2:$Q$159,14,FALSE),0.4)))</f>
        <v>0</v>
      </c>
      <c r="AN56" s="3">
        <f>IF($A56&lt;&gt;"Yes",0,IF($R56="Detailed Breakdown",$AI56,$S56*IFERROR(VLOOKUP($B56,'Cost Library'!$A$2:$Q$159,15,FALSE),0.5)))</f>
        <v>0</v>
      </c>
      <c r="AO56" s="3">
        <f>IF($A56&lt;&gt;"Yes",0,IF($R56="Detailed Breakdown",$AJ56+$AK56,$S56*IFERROR(VLOOKUP($B56,'Cost Library'!$A$2:$Q$159,16,FALSE),0.1)))</f>
        <v>0</v>
      </c>
      <c r="AP56" s="3">
        <f t="shared" si="5"/>
        <v>0</v>
      </c>
      <c r="AQ56" s="32">
        <f t="shared" si="6"/>
        <v>0</v>
      </c>
      <c r="AR56" s="32">
        <f t="shared" si="7"/>
        <v>0</v>
      </c>
      <c r="AS56" s="32">
        <f t="shared" si="8"/>
        <v>0</v>
      </c>
      <c r="AT56" s="2" t="str">
        <f t="shared" si="9"/>
        <v/>
      </c>
      <c r="AU56" s="31" t="s">
        <v>116</v>
      </c>
      <c r="AV56" s="3">
        <f t="shared" si="10"/>
        <v>0</v>
      </c>
      <c r="AW56" s="3">
        <f t="shared" si="11"/>
        <v>0</v>
      </c>
      <c r="AX56" s="3">
        <f t="shared" si="12"/>
        <v>0</v>
      </c>
      <c r="AY56" s="3">
        <f t="shared" si="13"/>
        <v>0</v>
      </c>
      <c r="AZ56" s="3">
        <f t="shared" si="14"/>
        <v>0</v>
      </c>
      <c r="BA56" s="32">
        <f t="shared" si="15"/>
        <v>0</v>
      </c>
      <c r="BB56" s="2" t="str">
        <f t="shared" si="16"/>
        <v/>
      </c>
    </row>
    <row r="57" spans="1:54" ht="14.4">
      <c r="A57" s="13" t="s">
        <v>161</v>
      </c>
      <c r="B57" s="13"/>
      <c r="C57" s="14" t="str">
        <f>IFERROR(VLOOKUP($B57,'Cost Library'!$A$2:$M$159,2,FALSE),"")</f>
        <v/>
      </c>
      <c r="D57" s="14" t="str">
        <f>IFERROR(VLOOKUP($B57,'Cost Library'!$A$2:$M$159,3,FALSE),"")</f>
        <v/>
      </c>
      <c r="E57" s="13"/>
      <c r="F57" s="13"/>
      <c r="G57" s="13" t="str">
        <f>IFERROR(VLOOKUP($B57,'Cost Library'!$A$2:$M$159,5,FALSE),"")</f>
        <v/>
      </c>
      <c r="H57" s="13"/>
      <c r="I57" s="13"/>
      <c r="J57" s="13"/>
      <c r="K57" s="13"/>
      <c r="L57" s="13">
        <v>1</v>
      </c>
      <c r="M57" s="14" t="str">
        <f>IFERROR(VLOOKUP($B57,'Cost Library'!$A$2:$M$159,6,FALSE),"")</f>
        <v/>
      </c>
      <c r="N57" s="15">
        <f>IFERROR(VLOOKUP($B57,'Cost Library'!$A$2:$M$159,7,FALSE),0)</f>
        <v>0</v>
      </c>
      <c r="O57" s="15">
        <f>IFERROR(VLOOKUP($B57,'Cost Library'!$A$2:$M$159,8,FALSE),0)</f>
        <v>0</v>
      </c>
      <c r="P57" s="15">
        <f>IFERROR(VLOOKUP($B57,'Cost Library'!$A$2:$M$159,9,FALSE),0)</f>
        <v>0</v>
      </c>
      <c r="Q57" s="16"/>
      <c r="R57" s="16" t="s">
        <v>116</v>
      </c>
      <c r="S57" s="17">
        <f t="shared" si="0"/>
        <v>0</v>
      </c>
      <c r="T57" s="18">
        <f>'Project Inputs'!$C$15</f>
        <v>0.1</v>
      </c>
      <c r="U57" s="17">
        <f t="shared" si="1"/>
        <v>0</v>
      </c>
      <c r="V57" s="11" t="s">
        <v>247</v>
      </c>
      <c r="W57" s="14" t="str">
        <f>IFERROR(VLOOKUP($B57,'Cost Library'!$A$2:$M$159,10,FALSE),"")</f>
        <v/>
      </c>
      <c r="X57" s="11"/>
      <c r="Y57" s="11"/>
      <c r="Z57" s="11"/>
      <c r="AA57" s="11"/>
      <c r="AB57" s="11"/>
      <c r="AC57" s="11"/>
      <c r="AD57" s="30"/>
      <c r="AE57" s="31"/>
      <c r="AF57" s="3">
        <f t="shared" si="2"/>
        <v>0</v>
      </c>
      <c r="AG57" s="31"/>
      <c r="AH57" s="31"/>
      <c r="AI57" s="3">
        <f t="shared" si="3"/>
        <v>0</v>
      </c>
      <c r="AJ57" s="31"/>
      <c r="AK57" s="31"/>
      <c r="AL57" s="3">
        <f t="shared" si="4"/>
        <v>0</v>
      </c>
      <c r="AM57" s="3">
        <f>IF($A57&lt;&gt;"Yes",0,IF($R57="Detailed Breakdown",$AF57,$S57*IFERROR(VLOOKUP($B57,'Cost Library'!$A$2:$Q$159,14,FALSE),0.4)))</f>
        <v>0</v>
      </c>
      <c r="AN57" s="3">
        <f>IF($A57&lt;&gt;"Yes",0,IF($R57="Detailed Breakdown",$AI57,$S57*IFERROR(VLOOKUP($B57,'Cost Library'!$A$2:$Q$159,15,FALSE),0.5)))</f>
        <v>0</v>
      </c>
      <c r="AO57" s="3">
        <f>IF($A57&lt;&gt;"Yes",0,IF($R57="Detailed Breakdown",$AJ57+$AK57,$S57*IFERROR(VLOOKUP($B57,'Cost Library'!$A$2:$Q$159,16,FALSE),0.1)))</f>
        <v>0</v>
      </c>
      <c r="AP57" s="3">
        <f t="shared" si="5"/>
        <v>0</v>
      </c>
      <c r="AQ57" s="32">
        <f t="shared" si="6"/>
        <v>0</v>
      </c>
      <c r="AR57" s="32">
        <f t="shared" si="7"/>
        <v>0</v>
      </c>
      <c r="AS57" s="32">
        <f t="shared" si="8"/>
        <v>0</v>
      </c>
      <c r="AT57" s="2" t="str">
        <f t="shared" si="9"/>
        <v/>
      </c>
      <c r="AU57" s="31" t="s">
        <v>116</v>
      </c>
      <c r="AV57" s="3">
        <f t="shared" si="10"/>
        <v>0</v>
      </c>
      <c r="AW57" s="3">
        <f t="shared" si="11"/>
        <v>0</v>
      </c>
      <c r="AX57" s="3">
        <f t="shared" si="12"/>
        <v>0</v>
      </c>
      <c r="AY57" s="3">
        <f t="shared" si="13"/>
        <v>0</v>
      </c>
      <c r="AZ57" s="3">
        <f t="shared" si="14"/>
        <v>0</v>
      </c>
      <c r="BA57" s="32">
        <f t="shared" si="15"/>
        <v>0</v>
      </c>
      <c r="BB57" s="2" t="str">
        <f t="shared" si="16"/>
        <v/>
      </c>
    </row>
    <row r="58" spans="1:54" ht="14.4">
      <c r="A58" s="13" t="s">
        <v>161</v>
      </c>
      <c r="B58" s="13"/>
      <c r="C58" s="14" t="str">
        <f>IFERROR(VLOOKUP($B58,'Cost Library'!$A$2:$M$159,2,FALSE),"")</f>
        <v/>
      </c>
      <c r="D58" s="14" t="str">
        <f>IFERROR(VLOOKUP($B58,'Cost Library'!$A$2:$M$159,3,FALSE),"")</f>
        <v/>
      </c>
      <c r="E58" s="13"/>
      <c r="F58" s="13"/>
      <c r="G58" s="13" t="str">
        <f>IFERROR(VLOOKUP($B58,'Cost Library'!$A$2:$M$159,5,FALSE),"")</f>
        <v/>
      </c>
      <c r="H58" s="13"/>
      <c r="I58" s="13"/>
      <c r="J58" s="13"/>
      <c r="K58" s="13"/>
      <c r="L58" s="13">
        <v>1</v>
      </c>
      <c r="M58" s="14" t="str">
        <f>IFERROR(VLOOKUP($B58,'Cost Library'!$A$2:$M$159,6,FALSE),"")</f>
        <v/>
      </c>
      <c r="N58" s="15">
        <f>IFERROR(VLOOKUP($B58,'Cost Library'!$A$2:$M$159,7,FALSE),0)</f>
        <v>0</v>
      </c>
      <c r="O58" s="15">
        <f>IFERROR(VLOOKUP($B58,'Cost Library'!$A$2:$M$159,8,FALSE),0)</f>
        <v>0</v>
      </c>
      <c r="P58" s="15">
        <f>IFERROR(VLOOKUP($B58,'Cost Library'!$A$2:$M$159,9,FALSE),0)</f>
        <v>0</v>
      </c>
      <c r="Q58" s="16"/>
      <c r="R58" s="16" t="s">
        <v>116</v>
      </c>
      <c r="S58" s="17">
        <f t="shared" si="0"/>
        <v>0</v>
      </c>
      <c r="T58" s="18">
        <f>'Project Inputs'!$C$15</f>
        <v>0.1</v>
      </c>
      <c r="U58" s="17">
        <f t="shared" si="1"/>
        <v>0</v>
      </c>
      <c r="V58" s="11" t="s">
        <v>247</v>
      </c>
      <c r="W58" s="14" t="str">
        <f>IFERROR(VLOOKUP($B58,'Cost Library'!$A$2:$M$159,10,FALSE),"")</f>
        <v/>
      </c>
      <c r="X58" s="11"/>
      <c r="Y58" s="11"/>
      <c r="Z58" s="11"/>
      <c r="AA58" s="11"/>
      <c r="AB58" s="11"/>
      <c r="AC58" s="11"/>
      <c r="AD58" s="30"/>
      <c r="AE58" s="31"/>
      <c r="AF58" s="3">
        <f t="shared" si="2"/>
        <v>0</v>
      </c>
      <c r="AG58" s="31"/>
      <c r="AH58" s="31"/>
      <c r="AI58" s="3">
        <f t="shared" si="3"/>
        <v>0</v>
      </c>
      <c r="AJ58" s="31"/>
      <c r="AK58" s="31"/>
      <c r="AL58" s="3">
        <f t="shared" si="4"/>
        <v>0</v>
      </c>
      <c r="AM58" s="3">
        <f>IF($A58&lt;&gt;"Yes",0,IF($R58="Detailed Breakdown",$AF58,$S58*IFERROR(VLOOKUP($B58,'Cost Library'!$A$2:$Q$159,14,FALSE),0.4)))</f>
        <v>0</v>
      </c>
      <c r="AN58" s="3">
        <f>IF($A58&lt;&gt;"Yes",0,IF($R58="Detailed Breakdown",$AI58,$S58*IFERROR(VLOOKUP($B58,'Cost Library'!$A$2:$Q$159,15,FALSE),0.5)))</f>
        <v>0</v>
      </c>
      <c r="AO58" s="3">
        <f>IF($A58&lt;&gt;"Yes",0,IF($R58="Detailed Breakdown",$AJ58+$AK58,$S58*IFERROR(VLOOKUP($B58,'Cost Library'!$A$2:$Q$159,16,FALSE),0.1)))</f>
        <v>0</v>
      </c>
      <c r="AP58" s="3">
        <f t="shared" si="5"/>
        <v>0</v>
      </c>
      <c r="AQ58" s="32">
        <f t="shared" si="6"/>
        <v>0</v>
      </c>
      <c r="AR58" s="32">
        <f t="shared" si="7"/>
        <v>0</v>
      </c>
      <c r="AS58" s="32">
        <f t="shared" si="8"/>
        <v>0</v>
      </c>
      <c r="AT58" s="2" t="str">
        <f t="shared" si="9"/>
        <v/>
      </c>
      <c r="AU58" s="31" t="s">
        <v>116</v>
      </c>
      <c r="AV58" s="3">
        <f t="shared" si="10"/>
        <v>0</v>
      </c>
      <c r="AW58" s="3">
        <f t="shared" si="11"/>
        <v>0</v>
      </c>
      <c r="AX58" s="3">
        <f t="shared" si="12"/>
        <v>0</v>
      </c>
      <c r="AY58" s="3">
        <f t="shared" si="13"/>
        <v>0</v>
      </c>
      <c r="AZ58" s="3">
        <f t="shared" si="14"/>
        <v>0</v>
      </c>
      <c r="BA58" s="32">
        <f t="shared" si="15"/>
        <v>0</v>
      </c>
      <c r="BB58" s="2" t="str">
        <f t="shared" si="16"/>
        <v/>
      </c>
    </row>
    <row r="59" spans="1:54" ht="14.4">
      <c r="A59" s="13" t="s">
        <v>161</v>
      </c>
      <c r="B59" s="13"/>
      <c r="C59" s="14" t="str">
        <f>IFERROR(VLOOKUP($B59,'Cost Library'!$A$2:$M$159,2,FALSE),"")</f>
        <v/>
      </c>
      <c r="D59" s="14" t="str">
        <f>IFERROR(VLOOKUP($B59,'Cost Library'!$A$2:$M$159,3,FALSE),"")</f>
        <v/>
      </c>
      <c r="E59" s="13"/>
      <c r="F59" s="13"/>
      <c r="G59" s="13" t="str">
        <f>IFERROR(VLOOKUP($B59,'Cost Library'!$A$2:$M$159,5,FALSE),"")</f>
        <v/>
      </c>
      <c r="H59" s="13"/>
      <c r="I59" s="13"/>
      <c r="J59" s="13"/>
      <c r="K59" s="13"/>
      <c r="L59" s="13">
        <v>1</v>
      </c>
      <c r="M59" s="14" t="str">
        <f>IFERROR(VLOOKUP($B59,'Cost Library'!$A$2:$M$159,6,FALSE),"")</f>
        <v/>
      </c>
      <c r="N59" s="15">
        <f>IFERROR(VLOOKUP($B59,'Cost Library'!$A$2:$M$159,7,FALSE),0)</f>
        <v>0</v>
      </c>
      <c r="O59" s="15">
        <f>IFERROR(VLOOKUP($B59,'Cost Library'!$A$2:$M$159,8,FALSE),0)</f>
        <v>0</v>
      </c>
      <c r="P59" s="15">
        <f>IFERROR(VLOOKUP($B59,'Cost Library'!$A$2:$M$159,9,FALSE),0)</f>
        <v>0</v>
      </c>
      <c r="Q59" s="16"/>
      <c r="R59" s="16" t="s">
        <v>116</v>
      </c>
      <c r="S59" s="17">
        <f t="shared" si="0"/>
        <v>0</v>
      </c>
      <c r="T59" s="18">
        <f>'Project Inputs'!$C$15</f>
        <v>0.1</v>
      </c>
      <c r="U59" s="17">
        <f t="shared" si="1"/>
        <v>0</v>
      </c>
      <c r="V59" s="11" t="s">
        <v>247</v>
      </c>
      <c r="W59" s="14" t="str">
        <f>IFERROR(VLOOKUP($B59,'Cost Library'!$A$2:$M$159,10,FALSE),"")</f>
        <v/>
      </c>
      <c r="X59" s="11"/>
      <c r="Y59" s="11"/>
      <c r="Z59" s="11"/>
      <c r="AA59" s="11"/>
      <c r="AB59" s="11"/>
      <c r="AC59" s="11"/>
      <c r="AD59" s="30"/>
      <c r="AE59" s="31"/>
      <c r="AF59" s="3">
        <f t="shared" si="2"/>
        <v>0</v>
      </c>
      <c r="AG59" s="31"/>
      <c r="AH59" s="31"/>
      <c r="AI59" s="3">
        <f t="shared" si="3"/>
        <v>0</v>
      </c>
      <c r="AJ59" s="31"/>
      <c r="AK59" s="31"/>
      <c r="AL59" s="3">
        <f t="shared" si="4"/>
        <v>0</v>
      </c>
      <c r="AM59" s="3">
        <f>IF($A59&lt;&gt;"Yes",0,IF($R59="Detailed Breakdown",$AF59,$S59*IFERROR(VLOOKUP($B59,'Cost Library'!$A$2:$Q$159,14,FALSE),0.4)))</f>
        <v>0</v>
      </c>
      <c r="AN59" s="3">
        <f>IF($A59&lt;&gt;"Yes",0,IF($R59="Detailed Breakdown",$AI59,$S59*IFERROR(VLOOKUP($B59,'Cost Library'!$A$2:$Q$159,15,FALSE),0.5)))</f>
        <v>0</v>
      </c>
      <c r="AO59" s="3">
        <f>IF($A59&lt;&gt;"Yes",0,IF($R59="Detailed Breakdown",$AJ59+$AK59,$S59*IFERROR(VLOOKUP($B59,'Cost Library'!$A$2:$Q$159,16,FALSE),0.1)))</f>
        <v>0</v>
      </c>
      <c r="AP59" s="3">
        <f t="shared" si="5"/>
        <v>0</v>
      </c>
      <c r="AQ59" s="32">
        <f t="shared" si="6"/>
        <v>0</v>
      </c>
      <c r="AR59" s="32">
        <f t="shared" si="7"/>
        <v>0</v>
      </c>
      <c r="AS59" s="32">
        <f t="shared" si="8"/>
        <v>0</v>
      </c>
      <c r="AT59" s="2" t="str">
        <f t="shared" si="9"/>
        <v/>
      </c>
      <c r="AU59" s="31" t="s">
        <v>116</v>
      </c>
      <c r="AV59" s="3">
        <f t="shared" si="10"/>
        <v>0</v>
      </c>
      <c r="AW59" s="3">
        <f t="shared" si="11"/>
        <v>0</v>
      </c>
      <c r="AX59" s="3">
        <f t="shared" si="12"/>
        <v>0</v>
      </c>
      <c r="AY59" s="3">
        <f t="shared" si="13"/>
        <v>0</v>
      </c>
      <c r="AZ59" s="3">
        <f t="shared" si="14"/>
        <v>0</v>
      </c>
      <c r="BA59" s="32">
        <f t="shared" si="15"/>
        <v>0</v>
      </c>
      <c r="BB59" s="2" t="str">
        <f t="shared" si="16"/>
        <v/>
      </c>
    </row>
    <row r="60" spans="1:54" ht="14.4">
      <c r="A60" s="13" t="s">
        <v>161</v>
      </c>
      <c r="B60" s="13"/>
      <c r="C60" s="14" t="str">
        <f>IFERROR(VLOOKUP($B60,'Cost Library'!$A$2:$M$159,2,FALSE),"")</f>
        <v/>
      </c>
      <c r="D60" s="14" t="str">
        <f>IFERROR(VLOOKUP($B60,'Cost Library'!$A$2:$M$159,3,FALSE),"")</f>
        <v/>
      </c>
      <c r="E60" s="13"/>
      <c r="F60" s="13"/>
      <c r="G60" s="13" t="str">
        <f>IFERROR(VLOOKUP($B60,'Cost Library'!$A$2:$M$159,5,FALSE),"")</f>
        <v/>
      </c>
      <c r="H60" s="13"/>
      <c r="I60" s="13"/>
      <c r="J60" s="13"/>
      <c r="K60" s="13"/>
      <c r="L60" s="13">
        <v>1</v>
      </c>
      <c r="M60" s="14" t="str">
        <f>IFERROR(VLOOKUP($B60,'Cost Library'!$A$2:$M$159,6,FALSE),"")</f>
        <v/>
      </c>
      <c r="N60" s="15">
        <f>IFERROR(VLOOKUP($B60,'Cost Library'!$A$2:$M$159,7,FALSE),0)</f>
        <v>0</v>
      </c>
      <c r="O60" s="15">
        <f>IFERROR(VLOOKUP($B60,'Cost Library'!$A$2:$M$159,8,FALSE),0)</f>
        <v>0</v>
      </c>
      <c r="P60" s="15">
        <f>IFERROR(VLOOKUP($B60,'Cost Library'!$A$2:$M$159,9,FALSE),0)</f>
        <v>0</v>
      </c>
      <c r="Q60" s="16"/>
      <c r="R60" s="16" t="s">
        <v>116</v>
      </c>
      <c r="S60" s="17">
        <f t="shared" si="0"/>
        <v>0</v>
      </c>
      <c r="T60" s="18">
        <f>'Project Inputs'!$C$15</f>
        <v>0.1</v>
      </c>
      <c r="U60" s="17">
        <f t="shared" si="1"/>
        <v>0</v>
      </c>
      <c r="V60" s="11" t="s">
        <v>247</v>
      </c>
      <c r="W60" s="14" t="str">
        <f>IFERROR(VLOOKUP($B60,'Cost Library'!$A$2:$M$159,10,FALSE),"")</f>
        <v/>
      </c>
      <c r="X60" s="11"/>
      <c r="Y60" s="11"/>
      <c r="Z60" s="11"/>
      <c r="AA60" s="11"/>
      <c r="AB60" s="11"/>
      <c r="AC60" s="11"/>
      <c r="AD60" s="30"/>
      <c r="AE60" s="31"/>
      <c r="AF60" s="3">
        <f t="shared" si="2"/>
        <v>0</v>
      </c>
      <c r="AG60" s="31"/>
      <c r="AH60" s="31"/>
      <c r="AI60" s="3">
        <f t="shared" si="3"/>
        <v>0</v>
      </c>
      <c r="AJ60" s="31"/>
      <c r="AK60" s="31"/>
      <c r="AL60" s="3">
        <f t="shared" si="4"/>
        <v>0</v>
      </c>
      <c r="AM60" s="3">
        <f>IF($A60&lt;&gt;"Yes",0,IF($R60="Detailed Breakdown",$AF60,$S60*IFERROR(VLOOKUP($B60,'Cost Library'!$A$2:$Q$159,14,FALSE),0.4)))</f>
        <v>0</v>
      </c>
      <c r="AN60" s="3">
        <f>IF($A60&lt;&gt;"Yes",0,IF($R60="Detailed Breakdown",$AI60,$S60*IFERROR(VLOOKUP($B60,'Cost Library'!$A$2:$Q$159,15,FALSE),0.5)))</f>
        <v>0</v>
      </c>
      <c r="AO60" s="3">
        <f>IF($A60&lt;&gt;"Yes",0,IF($R60="Detailed Breakdown",$AJ60+$AK60,$S60*IFERROR(VLOOKUP($B60,'Cost Library'!$A$2:$Q$159,16,FALSE),0.1)))</f>
        <v>0</v>
      </c>
      <c r="AP60" s="3">
        <f t="shared" si="5"/>
        <v>0</v>
      </c>
      <c r="AQ60" s="32">
        <f t="shared" si="6"/>
        <v>0</v>
      </c>
      <c r="AR60" s="32">
        <f t="shared" si="7"/>
        <v>0</v>
      </c>
      <c r="AS60" s="32">
        <f t="shared" si="8"/>
        <v>0</v>
      </c>
      <c r="AT60" s="2" t="str">
        <f t="shared" si="9"/>
        <v/>
      </c>
      <c r="AU60" s="31" t="s">
        <v>116</v>
      </c>
      <c r="AV60" s="3">
        <f t="shared" si="10"/>
        <v>0</v>
      </c>
      <c r="AW60" s="3">
        <f t="shared" si="11"/>
        <v>0</v>
      </c>
      <c r="AX60" s="3">
        <f t="shared" si="12"/>
        <v>0</v>
      </c>
      <c r="AY60" s="3">
        <f t="shared" si="13"/>
        <v>0</v>
      </c>
      <c r="AZ60" s="3">
        <f t="shared" si="14"/>
        <v>0</v>
      </c>
      <c r="BA60" s="32">
        <f t="shared" si="15"/>
        <v>0</v>
      </c>
      <c r="BB60" s="2" t="str">
        <f t="shared" si="16"/>
        <v/>
      </c>
    </row>
    <row r="61" spans="1:54" ht="14.4">
      <c r="A61" s="13" t="s">
        <v>161</v>
      </c>
      <c r="B61" s="13"/>
      <c r="C61" s="14" t="str">
        <f>IFERROR(VLOOKUP($B61,'Cost Library'!$A$2:$M$159,2,FALSE),"")</f>
        <v/>
      </c>
      <c r="D61" s="14" t="str">
        <f>IFERROR(VLOOKUP($B61,'Cost Library'!$A$2:$M$159,3,FALSE),"")</f>
        <v/>
      </c>
      <c r="E61" s="13"/>
      <c r="F61" s="13"/>
      <c r="G61" s="13" t="str">
        <f>IFERROR(VLOOKUP($B61,'Cost Library'!$A$2:$M$159,5,FALSE),"")</f>
        <v/>
      </c>
      <c r="H61" s="13"/>
      <c r="I61" s="13"/>
      <c r="J61" s="13"/>
      <c r="K61" s="13"/>
      <c r="L61" s="13">
        <v>1</v>
      </c>
      <c r="M61" s="14" t="str">
        <f>IFERROR(VLOOKUP($B61,'Cost Library'!$A$2:$M$159,6,FALSE),"")</f>
        <v/>
      </c>
      <c r="N61" s="15">
        <f>IFERROR(VLOOKUP($B61,'Cost Library'!$A$2:$M$159,7,FALSE),0)</f>
        <v>0</v>
      </c>
      <c r="O61" s="15">
        <f>IFERROR(VLOOKUP($B61,'Cost Library'!$A$2:$M$159,8,FALSE),0)</f>
        <v>0</v>
      </c>
      <c r="P61" s="15">
        <f>IFERROR(VLOOKUP($B61,'Cost Library'!$A$2:$M$159,9,FALSE),0)</f>
        <v>0</v>
      </c>
      <c r="Q61" s="16"/>
      <c r="R61" s="16" t="s">
        <v>116</v>
      </c>
      <c r="S61" s="17">
        <f t="shared" si="0"/>
        <v>0</v>
      </c>
      <c r="T61" s="18">
        <f>'Project Inputs'!$C$15</f>
        <v>0.1</v>
      </c>
      <c r="U61" s="17">
        <f t="shared" si="1"/>
        <v>0</v>
      </c>
      <c r="V61" s="11" t="s">
        <v>247</v>
      </c>
      <c r="W61" s="14" t="str">
        <f>IFERROR(VLOOKUP($B61,'Cost Library'!$A$2:$M$159,10,FALSE),"")</f>
        <v/>
      </c>
      <c r="X61" s="11"/>
      <c r="Y61" s="11"/>
      <c r="Z61" s="11"/>
      <c r="AA61" s="11"/>
      <c r="AB61" s="11"/>
      <c r="AC61" s="11"/>
      <c r="AD61" s="30"/>
      <c r="AE61" s="31"/>
      <c r="AF61" s="3">
        <f t="shared" si="2"/>
        <v>0</v>
      </c>
      <c r="AG61" s="31"/>
      <c r="AH61" s="31"/>
      <c r="AI61" s="3">
        <f t="shared" si="3"/>
        <v>0</v>
      </c>
      <c r="AJ61" s="31"/>
      <c r="AK61" s="31"/>
      <c r="AL61" s="3">
        <f t="shared" si="4"/>
        <v>0</v>
      </c>
      <c r="AM61" s="3">
        <f>IF($A61&lt;&gt;"Yes",0,IF($R61="Detailed Breakdown",$AF61,$S61*IFERROR(VLOOKUP($B61,'Cost Library'!$A$2:$Q$159,14,FALSE),0.4)))</f>
        <v>0</v>
      </c>
      <c r="AN61" s="3">
        <f>IF($A61&lt;&gt;"Yes",0,IF($R61="Detailed Breakdown",$AI61,$S61*IFERROR(VLOOKUP($B61,'Cost Library'!$A$2:$Q$159,15,FALSE),0.5)))</f>
        <v>0</v>
      </c>
      <c r="AO61" s="3">
        <f>IF($A61&lt;&gt;"Yes",0,IF($R61="Detailed Breakdown",$AJ61+$AK61,$S61*IFERROR(VLOOKUP($B61,'Cost Library'!$A$2:$Q$159,16,FALSE),0.1)))</f>
        <v>0</v>
      </c>
      <c r="AP61" s="3">
        <f t="shared" si="5"/>
        <v>0</v>
      </c>
      <c r="AQ61" s="32">
        <f t="shared" si="6"/>
        <v>0</v>
      </c>
      <c r="AR61" s="32">
        <f t="shared" si="7"/>
        <v>0</v>
      </c>
      <c r="AS61" s="32">
        <f t="shared" si="8"/>
        <v>0</v>
      </c>
      <c r="AT61" s="2" t="str">
        <f t="shared" si="9"/>
        <v/>
      </c>
      <c r="AU61" s="31" t="s">
        <v>116</v>
      </c>
      <c r="AV61" s="3">
        <f t="shared" si="10"/>
        <v>0</v>
      </c>
      <c r="AW61" s="3">
        <f t="shared" si="11"/>
        <v>0</v>
      </c>
      <c r="AX61" s="3">
        <f t="shared" si="12"/>
        <v>0</v>
      </c>
      <c r="AY61" s="3">
        <f t="shared" si="13"/>
        <v>0</v>
      </c>
      <c r="AZ61" s="3">
        <f t="shared" si="14"/>
        <v>0</v>
      </c>
      <c r="BA61" s="32">
        <f t="shared" si="15"/>
        <v>0</v>
      </c>
      <c r="BB61" s="2" t="str">
        <f t="shared" si="16"/>
        <v/>
      </c>
    </row>
    <row r="62" spans="1:54" ht="14.4">
      <c r="A62" s="13" t="s">
        <v>161</v>
      </c>
      <c r="B62" s="13"/>
      <c r="C62" s="14" t="str">
        <f>IFERROR(VLOOKUP($B62,'Cost Library'!$A$2:$M$159,2,FALSE),"")</f>
        <v/>
      </c>
      <c r="D62" s="14" t="str">
        <f>IFERROR(VLOOKUP($B62,'Cost Library'!$A$2:$M$159,3,FALSE),"")</f>
        <v/>
      </c>
      <c r="E62" s="13"/>
      <c r="F62" s="13"/>
      <c r="G62" s="13" t="str">
        <f>IFERROR(VLOOKUP($B62,'Cost Library'!$A$2:$M$159,5,FALSE),"")</f>
        <v/>
      </c>
      <c r="H62" s="13"/>
      <c r="I62" s="13"/>
      <c r="J62" s="13"/>
      <c r="K62" s="13"/>
      <c r="L62" s="13">
        <v>1</v>
      </c>
      <c r="M62" s="14" t="str">
        <f>IFERROR(VLOOKUP($B62,'Cost Library'!$A$2:$M$159,6,FALSE),"")</f>
        <v/>
      </c>
      <c r="N62" s="15">
        <f>IFERROR(VLOOKUP($B62,'Cost Library'!$A$2:$M$159,7,FALSE),0)</f>
        <v>0</v>
      </c>
      <c r="O62" s="15">
        <f>IFERROR(VLOOKUP($B62,'Cost Library'!$A$2:$M$159,8,FALSE),0)</f>
        <v>0</v>
      </c>
      <c r="P62" s="15">
        <f>IFERROR(VLOOKUP($B62,'Cost Library'!$A$2:$M$159,9,FALSE),0)</f>
        <v>0</v>
      </c>
      <c r="Q62" s="16"/>
      <c r="R62" s="16" t="s">
        <v>116</v>
      </c>
      <c r="S62" s="17">
        <f t="shared" si="0"/>
        <v>0</v>
      </c>
      <c r="T62" s="18">
        <f>'Project Inputs'!$C$15</f>
        <v>0.1</v>
      </c>
      <c r="U62" s="17">
        <f t="shared" si="1"/>
        <v>0</v>
      </c>
      <c r="V62" s="11" t="s">
        <v>247</v>
      </c>
      <c r="W62" s="14" t="str">
        <f>IFERROR(VLOOKUP($B62,'Cost Library'!$A$2:$M$159,10,FALSE),"")</f>
        <v/>
      </c>
      <c r="X62" s="11"/>
      <c r="Y62" s="11"/>
      <c r="Z62" s="11"/>
      <c r="AA62" s="11"/>
      <c r="AB62" s="11"/>
      <c r="AC62" s="11"/>
      <c r="AD62" s="30"/>
      <c r="AE62" s="31"/>
      <c r="AF62" s="3">
        <f t="shared" si="2"/>
        <v>0</v>
      </c>
      <c r="AG62" s="31"/>
      <c r="AH62" s="31"/>
      <c r="AI62" s="3">
        <f t="shared" si="3"/>
        <v>0</v>
      </c>
      <c r="AJ62" s="31"/>
      <c r="AK62" s="31"/>
      <c r="AL62" s="3">
        <f t="shared" si="4"/>
        <v>0</v>
      </c>
      <c r="AM62" s="3">
        <f>IF($A62&lt;&gt;"Yes",0,IF($R62="Detailed Breakdown",$AF62,$S62*IFERROR(VLOOKUP($B62,'Cost Library'!$A$2:$Q$159,14,FALSE),0.4)))</f>
        <v>0</v>
      </c>
      <c r="AN62" s="3">
        <f>IF($A62&lt;&gt;"Yes",0,IF($R62="Detailed Breakdown",$AI62,$S62*IFERROR(VLOOKUP($B62,'Cost Library'!$A$2:$Q$159,15,FALSE),0.5)))</f>
        <v>0</v>
      </c>
      <c r="AO62" s="3">
        <f>IF($A62&lt;&gt;"Yes",0,IF($R62="Detailed Breakdown",$AJ62+$AK62,$S62*IFERROR(VLOOKUP($B62,'Cost Library'!$A$2:$Q$159,16,FALSE),0.1)))</f>
        <v>0</v>
      </c>
      <c r="AP62" s="3">
        <f t="shared" si="5"/>
        <v>0</v>
      </c>
      <c r="AQ62" s="32">
        <f t="shared" si="6"/>
        <v>0</v>
      </c>
      <c r="AR62" s="32">
        <f t="shared" si="7"/>
        <v>0</v>
      </c>
      <c r="AS62" s="32">
        <f t="shared" si="8"/>
        <v>0</v>
      </c>
      <c r="AT62" s="2" t="str">
        <f t="shared" si="9"/>
        <v/>
      </c>
      <c r="AU62" s="31" t="s">
        <v>116</v>
      </c>
      <c r="AV62" s="3">
        <f t="shared" si="10"/>
        <v>0</v>
      </c>
      <c r="AW62" s="3">
        <f t="shared" si="11"/>
        <v>0</v>
      </c>
      <c r="AX62" s="3">
        <f t="shared" si="12"/>
        <v>0</v>
      </c>
      <c r="AY62" s="3">
        <f t="shared" si="13"/>
        <v>0</v>
      </c>
      <c r="AZ62" s="3">
        <f t="shared" si="14"/>
        <v>0</v>
      </c>
      <c r="BA62" s="32">
        <f t="shared" si="15"/>
        <v>0</v>
      </c>
      <c r="BB62" s="2" t="str">
        <f t="shared" si="16"/>
        <v/>
      </c>
    </row>
    <row r="63" spans="1:54" ht="14.4">
      <c r="A63" s="13" t="s">
        <v>161</v>
      </c>
      <c r="B63" s="13"/>
      <c r="C63" s="14" t="str">
        <f>IFERROR(VLOOKUP($B63,'Cost Library'!$A$2:$M$159,2,FALSE),"")</f>
        <v/>
      </c>
      <c r="D63" s="14" t="str">
        <f>IFERROR(VLOOKUP($B63,'Cost Library'!$A$2:$M$159,3,FALSE),"")</f>
        <v/>
      </c>
      <c r="E63" s="13"/>
      <c r="F63" s="13"/>
      <c r="G63" s="13" t="str">
        <f>IFERROR(VLOOKUP($B63,'Cost Library'!$A$2:$M$159,5,FALSE),"")</f>
        <v/>
      </c>
      <c r="H63" s="13"/>
      <c r="I63" s="13"/>
      <c r="J63" s="13"/>
      <c r="K63" s="13"/>
      <c r="L63" s="13">
        <v>1</v>
      </c>
      <c r="M63" s="14" t="str">
        <f>IFERROR(VLOOKUP($B63,'Cost Library'!$A$2:$M$159,6,FALSE),"")</f>
        <v/>
      </c>
      <c r="N63" s="15">
        <f>IFERROR(VLOOKUP($B63,'Cost Library'!$A$2:$M$159,7,FALSE),0)</f>
        <v>0</v>
      </c>
      <c r="O63" s="15">
        <f>IFERROR(VLOOKUP($B63,'Cost Library'!$A$2:$M$159,8,FALSE),0)</f>
        <v>0</v>
      </c>
      <c r="P63" s="15">
        <f>IFERROR(VLOOKUP($B63,'Cost Library'!$A$2:$M$159,9,FALSE),0)</f>
        <v>0</v>
      </c>
      <c r="Q63" s="16"/>
      <c r="R63" s="16" t="s">
        <v>116</v>
      </c>
      <c r="S63" s="17">
        <f t="shared" si="0"/>
        <v>0</v>
      </c>
      <c r="T63" s="18">
        <f>'Project Inputs'!$C$15</f>
        <v>0.1</v>
      </c>
      <c r="U63" s="17">
        <f t="shared" si="1"/>
        <v>0</v>
      </c>
      <c r="V63" s="11" t="s">
        <v>247</v>
      </c>
      <c r="W63" s="14" t="str">
        <f>IFERROR(VLOOKUP($B63,'Cost Library'!$A$2:$M$159,10,FALSE),"")</f>
        <v/>
      </c>
      <c r="X63" s="11"/>
      <c r="Y63" s="11"/>
      <c r="Z63" s="11"/>
      <c r="AA63" s="11"/>
      <c r="AB63" s="11"/>
      <c r="AC63" s="11"/>
      <c r="AD63" s="30"/>
      <c r="AE63" s="31"/>
      <c r="AF63" s="3">
        <f t="shared" si="2"/>
        <v>0</v>
      </c>
      <c r="AG63" s="31"/>
      <c r="AH63" s="31"/>
      <c r="AI63" s="3">
        <f t="shared" si="3"/>
        <v>0</v>
      </c>
      <c r="AJ63" s="31"/>
      <c r="AK63" s="31"/>
      <c r="AL63" s="3">
        <f t="shared" si="4"/>
        <v>0</v>
      </c>
      <c r="AM63" s="3">
        <f>IF($A63&lt;&gt;"Yes",0,IF($R63="Detailed Breakdown",$AF63,$S63*IFERROR(VLOOKUP($B63,'Cost Library'!$A$2:$Q$159,14,FALSE),0.4)))</f>
        <v>0</v>
      </c>
      <c r="AN63" s="3">
        <f>IF($A63&lt;&gt;"Yes",0,IF($R63="Detailed Breakdown",$AI63,$S63*IFERROR(VLOOKUP($B63,'Cost Library'!$A$2:$Q$159,15,FALSE),0.5)))</f>
        <v>0</v>
      </c>
      <c r="AO63" s="3">
        <f>IF($A63&lt;&gt;"Yes",0,IF($R63="Detailed Breakdown",$AJ63+$AK63,$S63*IFERROR(VLOOKUP($B63,'Cost Library'!$A$2:$Q$159,16,FALSE),0.1)))</f>
        <v>0</v>
      </c>
      <c r="AP63" s="3">
        <f t="shared" si="5"/>
        <v>0</v>
      </c>
      <c r="AQ63" s="32">
        <f t="shared" si="6"/>
        <v>0</v>
      </c>
      <c r="AR63" s="32">
        <f t="shared" si="7"/>
        <v>0</v>
      </c>
      <c r="AS63" s="32">
        <f t="shared" si="8"/>
        <v>0</v>
      </c>
      <c r="AT63" s="2" t="str">
        <f t="shared" si="9"/>
        <v/>
      </c>
      <c r="AU63" s="31" t="s">
        <v>116</v>
      </c>
      <c r="AV63" s="3">
        <f t="shared" si="10"/>
        <v>0</v>
      </c>
      <c r="AW63" s="3">
        <f t="shared" si="11"/>
        <v>0</v>
      </c>
      <c r="AX63" s="3">
        <f t="shared" si="12"/>
        <v>0</v>
      </c>
      <c r="AY63" s="3">
        <f t="shared" si="13"/>
        <v>0</v>
      </c>
      <c r="AZ63" s="3">
        <f t="shared" si="14"/>
        <v>0</v>
      </c>
      <c r="BA63" s="32">
        <f t="shared" si="15"/>
        <v>0</v>
      </c>
      <c r="BB63" s="2" t="str">
        <f t="shared" si="16"/>
        <v/>
      </c>
    </row>
    <row r="64" spans="1:54" ht="14.4">
      <c r="A64" s="13" t="s">
        <v>161</v>
      </c>
      <c r="B64" s="13"/>
      <c r="C64" s="14" t="str">
        <f>IFERROR(VLOOKUP($B64,'Cost Library'!$A$2:$M$159,2,FALSE),"")</f>
        <v/>
      </c>
      <c r="D64" s="14" t="str">
        <f>IFERROR(VLOOKUP($B64,'Cost Library'!$A$2:$M$159,3,FALSE),"")</f>
        <v/>
      </c>
      <c r="E64" s="13"/>
      <c r="F64" s="13"/>
      <c r="G64" s="13" t="str">
        <f>IFERROR(VLOOKUP($B64,'Cost Library'!$A$2:$M$159,5,FALSE),"")</f>
        <v/>
      </c>
      <c r="H64" s="13"/>
      <c r="I64" s="13"/>
      <c r="J64" s="13"/>
      <c r="K64" s="13"/>
      <c r="L64" s="13">
        <v>1</v>
      </c>
      <c r="M64" s="14" t="str">
        <f>IFERROR(VLOOKUP($B64,'Cost Library'!$A$2:$M$159,6,FALSE),"")</f>
        <v/>
      </c>
      <c r="N64" s="15">
        <f>IFERROR(VLOOKUP($B64,'Cost Library'!$A$2:$M$159,7,FALSE),0)</f>
        <v>0</v>
      </c>
      <c r="O64" s="15">
        <f>IFERROR(VLOOKUP($B64,'Cost Library'!$A$2:$M$159,8,FALSE),0)</f>
        <v>0</v>
      </c>
      <c r="P64" s="15">
        <f>IFERROR(VLOOKUP($B64,'Cost Library'!$A$2:$M$159,9,FALSE),0)</f>
        <v>0</v>
      </c>
      <c r="Q64" s="16"/>
      <c r="R64" s="16" t="s">
        <v>116</v>
      </c>
      <c r="S64" s="17">
        <f t="shared" si="0"/>
        <v>0</v>
      </c>
      <c r="T64" s="18">
        <f>'Project Inputs'!$C$15</f>
        <v>0.1</v>
      </c>
      <c r="U64" s="17">
        <f t="shared" si="1"/>
        <v>0</v>
      </c>
      <c r="V64" s="11" t="s">
        <v>247</v>
      </c>
      <c r="W64" s="14" t="str">
        <f>IFERROR(VLOOKUP($B64,'Cost Library'!$A$2:$M$159,10,FALSE),"")</f>
        <v/>
      </c>
      <c r="X64" s="11"/>
      <c r="Y64" s="11"/>
      <c r="Z64" s="11"/>
      <c r="AA64" s="11"/>
      <c r="AB64" s="11"/>
      <c r="AC64" s="11"/>
      <c r="AD64" s="30"/>
      <c r="AE64" s="31"/>
      <c r="AF64" s="3">
        <f t="shared" si="2"/>
        <v>0</v>
      </c>
      <c r="AG64" s="31"/>
      <c r="AH64" s="31"/>
      <c r="AI64" s="3">
        <f t="shared" si="3"/>
        <v>0</v>
      </c>
      <c r="AJ64" s="31"/>
      <c r="AK64" s="31"/>
      <c r="AL64" s="3">
        <f t="shared" si="4"/>
        <v>0</v>
      </c>
      <c r="AM64" s="3">
        <f>IF($A64&lt;&gt;"Yes",0,IF($R64="Detailed Breakdown",$AF64,$S64*IFERROR(VLOOKUP($B64,'Cost Library'!$A$2:$Q$159,14,FALSE),0.4)))</f>
        <v>0</v>
      </c>
      <c r="AN64" s="3">
        <f>IF($A64&lt;&gt;"Yes",0,IF($R64="Detailed Breakdown",$AI64,$S64*IFERROR(VLOOKUP($B64,'Cost Library'!$A$2:$Q$159,15,FALSE),0.5)))</f>
        <v>0</v>
      </c>
      <c r="AO64" s="3">
        <f>IF($A64&lt;&gt;"Yes",0,IF($R64="Detailed Breakdown",$AJ64+$AK64,$S64*IFERROR(VLOOKUP($B64,'Cost Library'!$A$2:$Q$159,16,FALSE),0.1)))</f>
        <v>0</v>
      </c>
      <c r="AP64" s="3">
        <f t="shared" si="5"/>
        <v>0</v>
      </c>
      <c r="AQ64" s="32">
        <f t="shared" si="6"/>
        <v>0</v>
      </c>
      <c r="AR64" s="32">
        <f t="shared" si="7"/>
        <v>0</v>
      </c>
      <c r="AS64" s="32">
        <f t="shared" si="8"/>
        <v>0</v>
      </c>
      <c r="AT64" s="2" t="str">
        <f t="shared" si="9"/>
        <v/>
      </c>
      <c r="AU64" s="31" t="s">
        <v>116</v>
      </c>
      <c r="AV64" s="3">
        <f t="shared" si="10"/>
        <v>0</v>
      </c>
      <c r="AW64" s="3">
        <f t="shared" si="11"/>
        <v>0</v>
      </c>
      <c r="AX64" s="3">
        <f t="shared" si="12"/>
        <v>0</v>
      </c>
      <c r="AY64" s="3">
        <f t="shared" si="13"/>
        <v>0</v>
      </c>
      <c r="AZ64" s="3">
        <f t="shared" si="14"/>
        <v>0</v>
      </c>
      <c r="BA64" s="32">
        <f t="shared" si="15"/>
        <v>0</v>
      </c>
      <c r="BB64" s="2" t="str">
        <f t="shared" si="16"/>
        <v/>
      </c>
    </row>
    <row r="65" spans="1:54" ht="14.4">
      <c r="A65" s="13" t="s">
        <v>161</v>
      </c>
      <c r="B65" s="13"/>
      <c r="C65" s="14" t="str">
        <f>IFERROR(VLOOKUP($B65,'Cost Library'!$A$2:$M$159,2,FALSE),"")</f>
        <v/>
      </c>
      <c r="D65" s="14" t="str">
        <f>IFERROR(VLOOKUP($B65,'Cost Library'!$A$2:$M$159,3,FALSE),"")</f>
        <v/>
      </c>
      <c r="E65" s="13"/>
      <c r="F65" s="13"/>
      <c r="G65" s="13" t="str">
        <f>IFERROR(VLOOKUP($B65,'Cost Library'!$A$2:$M$159,5,FALSE),"")</f>
        <v/>
      </c>
      <c r="H65" s="13"/>
      <c r="I65" s="13"/>
      <c r="J65" s="13"/>
      <c r="K65" s="13"/>
      <c r="L65" s="13">
        <v>1</v>
      </c>
      <c r="M65" s="14" t="str">
        <f>IFERROR(VLOOKUP($B65,'Cost Library'!$A$2:$M$159,6,FALSE),"")</f>
        <v/>
      </c>
      <c r="N65" s="15">
        <f>IFERROR(VLOOKUP($B65,'Cost Library'!$A$2:$M$159,7,FALSE),0)</f>
        <v>0</v>
      </c>
      <c r="O65" s="15">
        <f>IFERROR(VLOOKUP($B65,'Cost Library'!$A$2:$M$159,8,FALSE),0)</f>
        <v>0</v>
      </c>
      <c r="P65" s="15">
        <f>IFERROR(VLOOKUP($B65,'Cost Library'!$A$2:$M$159,9,FALSE),0)</f>
        <v>0</v>
      </c>
      <c r="Q65" s="16"/>
      <c r="R65" s="16" t="s">
        <v>116</v>
      </c>
      <c r="S65" s="17">
        <f t="shared" si="0"/>
        <v>0</v>
      </c>
      <c r="T65" s="18">
        <f>'Project Inputs'!$C$15</f>
        <v>0.1</v>
      </c>
      <c r="U65" s="17">
        <f t="shared" si="1"/>
        <v>0</v>
      </c>
      <c r="V65" s="11" t="s">
        <v>247</v>
      </c>
      <c r="W65" s="14" t="str">
        <f>IFERROR(VLOOKUP($B65,'Cost Library'!$A$2:$M$159,10,FALSE),"")</f>
        <v/>
      </c>
      <c r="X65" s="11"/>
      <c r="Y65" s="11"/>
      <c r="Z65" s="11"/>
      <c r="AA65" s="11"/>
      <c r="AB65" s="11"/>
      <c r="AC65" s="11"/>
      <c r="AD65" s="30"/>
      <c r="AE65" s="31"/>
      <c r="AF65" s="3">
        <f t="shared" si="2"/>
        <v>0</v>
      </c>
      <c r="AG65" s="31"/>
      <c r="AH65" s="31"/>
      <c r="AI65" s="3">
        <f t="shared" si="3"/>
        <v>0</v>
      </c>
      <c r="AJ65" s="31"/>
      <c r="AK65" s="31"/>
      <c r="AL65" s="3">
        <f t="shared" si="4"/>
        <v>0</v>
      </c>
      <c r="AM65" s="3">
        <f>IF($A65&lt;&gt;"Yes",0,IF($R65="Detailed Breakdown",$AF65,$S65*IFERROR(VLOOKUP($B65,'Cost Library'!$A$2:$Q$159,14,FALSE),0.4)))</f>
        <v>0</v>
      </c>
      <c r="AN65" s="3">
        <f>IF($A65&lt;&gt;"Yes",0,IF($R65="Detailed Breakdown",$AI65,$S65*IFERROR(VLOOKUP($B65,'Cost Library'!$A$2:$Q$159,15,FALSE),0.5)))</f>
        <v>0</v>
      </c>
      <c r="AO65" s="3">
        <f>IF($A65&lt;&gt;"Yes",0,IF($R65="Detailed Breakdown",$AJ65+$AK65,$S65*IFERROR(VLOOKUP($B65,'Cost Library'!$A$2:$Q$159,16,FALSE),0.1)))</f>
        <v>0</v>
      </c>
      <c r="AP65" s="3">
        <f t="shared" si="5"/>
        <v>0</v>
      </c>
      <c r="AQ65" s="32">
        <f t="shared" si="6"/>
        <v>0</v>
      </c>
      <c r="AR65" s="32">
        <f t="shared" si="7"/>
        <v>0</v>
      </c>
      <c r="AS65" s="32">
        <f t="shared" si="8"/>
        <v>0</v>
      </c>
      <c r="AT65" s="2" t="str">
        <f t="shared" si="9"/>
        <v/>
      </c>
      <c r="AU65" s="31" t="s">
        <v>116</v>
      </c>
      <c r="AV65" s="3">
        <f t="shared" si="10"/>
        <v>0</v>
      </c>
      <c r="AW65" s="3">
        <f t="shared" si="11"/>
        <v>0</v>
      </c>
      <c r="AX65" s="3">
        <f t="shared" si="12"/>
        <v>0</v>
      </c>
      <c r="AY65" s="3">
        <f t="shared" si="13"/>
        <v>0</v>
      </c>
      <c r="AZ65" s="3">
        <f t="shared" si="14"/>
        <v>0</v>
      </c>
      <c r="BA65" s="32">
        <f t="shared" si="15"/>
        <v>0</v>
      </c>
      <c r="BB65" s="2" t="str">
        <f t="shared" si="16"/>
        <v/>
      </c>
    </row>
    <row r="66" spans="1:54" ht="14.4">
      <c r="A66" s="13" t="s">
        <v>161</v>
      </c>
      <c r="B66" s="13"/>
      <c r="C66" s="14" t="str">
        <f>IFERROR(VLOOKUP($B66,'Cost Library'!$A$2:$M$159,2,FALSE),"")</f>
        <v/>
      </c>
      <c r="D66" s="14" t="str">
        <f>IFERROR(VLOOKUP($B66,'Cost Library'!$A$2:$M$159,3,FALSE),"")</f>
        <v/>
      </c>
      <c r="E66" s="13"/>
      <c r="F66" s="13"/>
      <c r="G66" s="13" t="str">
        <f>IFERROR(VLOOKUP($B66,'Cost Library'!$A$2:$M$159,5,FALSE),"")</f>
        <v/>
      </c>
      <c r="H66" s="13"/>
      <c r="I66" s="13"/>
      <c r="J66" s="13"/>
      <c r="K66" s="13"/>
      <c r="L66" s="13">
        <v>1</v>
      </c>
      <c r="M66" s="14" t="str">
        <f>IFERROR(VLOOKUP($B66,'Cost Library'!$A$2:$M$159,6,FALSE),"")</f>
        <v/>
      </c>
      <c r="N66" s="15">
        <f>IFERROR(VLOOKUP($B66,'Cost Library'!$A$2:$M$159,7,FALSE),0)</f>
        <v>0</v>
      </c>
      <c r="O66" s="15">
        <f>IFERROR(VLOOKUP($B66,'Cost Library'!$A$2:$M$159,8,FALSE),0)</f>
        <v>0</v>
      </c>
      <c r="P66" s="15">
        <f>IFERROR(VLOOKUP($B66,'Cost Library'!$A$2:$M$159,9,FALSE),0)</f>
        <v>0</v>
      </c>
      <c r="Q66" s="16"/>
      <c r="R66" s="16" t="s">
        <v>116</v>
      </c>
      <c r="S66" s="17">
        <f t="shared" ref="S66:S129" si="17">IF($A66&lt;&gt;"Yes",0,IF($R66="Detailed Breakdown",$AL66,IF($R66="Contractor Quote",$Q66,IF($R66="Low",$L66*$N66,IF($R66="High",$L66*$P66,$L66*$O66)))))</f>
        <v>0</v>
      </c>
      <c r="T66" s="18">
        <f>'Project Inputs'!$C$15</f>
        <v>0.1</v>
      </c>
      <c r="U66" s="17">
        <f t="shared" ref="U66:U129" si="18">IF($A66&lt;&gt;"Yes",0,$S66*(1+$T66))</f>
        <v>0</v>
      </c>
      <c r="V66" s="11" t="s">
        <v>247</v>
      </c>
      <c r="W66" s="14" t="str">
        <f>IFERROR(VLOOKUP($B66,'Cost Library'!$A$2:$M$159,10,FALSE),"")</f>
        <v/>
      </c>
      <c r="X66" s="11"/>
      <c r="Y66" s="11"/>
      <c r="Z66" s="11"/>
      <c r="AA66" s="11"/>
      <c r="AB66" s="11"/>
      <c r="AC66" s="11"/>
      <c r="AD66" s="30"/>
      <c r="AE66" s="31"/>
      <c r="AF66" s="3">
        <f t="shared" ref="AF66:AF129" si="19">IF(OR(AD66="",AE66=""),0,AD66*AE66)</f>
        <v>0</v>
      </c>
      <c r="AG66" s="31"/>
      <c r="AH66" s="31"/>
      <c r="AI66" s="3">
        <f t="shared" ref="AI66:AI129" si="20">IF(OR(AG66="",AH66=""),0,AG66*AH66)</f>
        <v>0</v>
      </c>
      <c r="AJ66" s="31"/>
      <c r="AK66" s="31"/>
      <c r="AL66" s="3">
        <f t="shared" ref="AL66:AL129" si="21">SUM(AF66,AI66,AJ66,AK66)</f>
        <v>0</v>
      </c>
      <c r="AM66" s="3">
        <f>IF($A66&lt;&gt;"Yes",0,IF($R66="Detailed Breakdown",$AF66,$S66*IFERROR(VLOOKUP($B66,'Cost Library'!$A$2:$Q$159,14,FALSE),0.4)))</f>
        <v>0</v>
      </c>
      <c r="AN66" s="3">
        <f>IF($A66&lt;&gt;"Yes",0,IF($R66="Detailed Breakdown",$AI66,$S66*IFERROR(VLOOKUP($B66,'Cost Library'!$A$2:$Q$159,15,FALSE),0.5)))</f>
        <v>0</v>
      </c>
      <c r="AO66" s="3">
        <f>IF($A66&lt;&gt;"Yes",0,IF($R66="Detailed Breakdown",$AJ66+$AK66,$S66*IFERROR(VLOOKUP($B66,'Cost Library'!$A$2:$Q$159,16,FALSE),0.1)))</f>
        <v>0</v>
      </c>
      <c r="AP66" s="3">
        <f t="shared" ref="AP66:AP129" si="22">IF($A66&lt;&gt;"Yes",0,$U66-$S66)</f>
        <v>0</v>
      </c>
      <c r="AQ66" s="32">
        <f t="shared" ref="AQ66:AQ129" si="23">IF($S66=0,0,$AM66/$S66)</f>
        <v>0</v>
      </c>
      <c r="AR66" s="32">
        <f t="shared" ref="AR66:AR129" si="24">IF($S66=0,0,$AN66/$S66)</f>
        <v>0</v>
      </c>
      <c r="AS66" s="32">
        <f t="shared" ref="AS66:AS129" si="25">IF($S66=0,0,$AO66/$S66)</f>
        <v>0</v>
      </c>
      <c r="AT66" s="2" t="str">
        <f t="shared" ref="AT66:AT129" si="26">IF($A66&lt;&gt;"Yes","",IF($R66="Detailed Breakdown","Detailed input",IF($R66="Contractor Quote","Estimated allocation - request vendor split","Planning allocation")))</f>
        <v/>
      </c>
      <c r="AU66" s="31" t="s">
        <v>116</v>
      </c>
      <c r="AV66" s="3">
        <f t="shared" ref="AV66:AV129" si="27">IF($A66&lt;&gt;"Yes",0,IF($AU66="Low",$L66*$N66,IF($AU66="High",$L66*$P66,$L66*$O66)))</f>
        <v>0</v>
      </c>
      <c r="AW66" s="3">
        <f t="shared" ref="AW66:AW129" si="28">IF($A66&lt;&gt;"Yes",0,$AV66*(1+$T66))</f>
        <v>0</v>
      </c>
      <c r="AX66" s="3">
        <f t="shared" ref="AX66:AX129" si="29">IF(AND($A66="Yes",$AL66&gt;0),$AL66*(1+$T66),0)</f>
        <v>0</v>
      </c>
      <c r="AY66" s="3">
        <f t="shared" ref="AY66:AY129" si="30">IF($AX66&gt;0,$AW66,0)</f>
        <v>0</v>
      </c>
      <c r="AZ66" s="3">
        <f t="shared" ref="AZ66:AZ129" si="31">IF($AX66&gt;0,$AX66-$AY66,0)</f>
        <v>0</v>
      </c>
      <c r="BA66" s="32">
        <f t="shared" ref="BA66:BA129" si="32">IF($AY66=0,0,$AZ66/$AY66)</f>
        <v>0</v>
      </c>
      <c r="BB66" s="2" t="str">
        <f t="shared" ref="BB66:BB129" si="33">IF($A66&lt;&gt;"Yes","",IF($Q66&gt;0,"Quoted",IF($AL66&gt;0,"Detailed","Ballpark")))</f>
        <v/>
      </c>
    </row>
    <row r="67" spans="1:54" ht="14.4">
      <c r="A67" s="13" t="s">
        <v>161</v>
      </c>
      <c r="B67" s="13"/>
      <c r="C67" s="14" t="str">
        <f>IFERROR(VLOOKUP($B67,'Cost Library'!$A$2:$M$159,2,FALSE),"")</f>
        <v/>
      </c>
      <c r="D67" s="14" t="str">
        <f>IFERROR(VLOOKUP($B67,'Cost Library'!$A$2:$M$159,3,FALSE),"")</f>
        <v/>
      </c>
      <c r="E67" s="13"/>
      <c r="F67" s="13"/>
      <c r="G67" s="13" t="str">
        <f>IFERROR(VLOOKUP($B67,'Cost Library'!$A$2:$M$159,5,FALSE),"")</f>
        <v/>
      </c>
      <c r="H67" s="13"/>
      <c r="I67" s="13"/>
      <c r="J67" s="13"/>
      <c r="K67" s="13"/>
      <c r="L67" s="13">
        <v>1</v>
      </c>
      <c r="M67" s="14" t="str">
        <f>IFERROR(VLOOKUP($B67,'Cost Library'!$A$2:$M$159,6,FALSE),"")</f>
        <v/>
      </c>
      <c r="N67" s="15">
        <f>IFERROR(VLOOKUP($B67,'Cost Library'!$A$2:$M$159,7,FALSE),0)</f>
        <v>0</v>
      </c>
      <c r="O67" s="15">
        <f>IFERROR(VLOOKUP($B67,'Cost Library'!$A$2:$M$159,8,FALSE),0)</f>
        <v>0</v>
      </c>
      <c r="P67" s="15">
        <f>IFERROR(VLOOKUP($B67,'Cost Library'!$A$2:$M$159,9,FALSE),0)</f>
        <v>0</v>
      </c>
      <c r="Q67" s="16"/>
      <c r="R67" s="16" t="s">
        <v>116</v>
      </c>
      <c r="S67" s="17">
        <f t="shared" si="17"/>
        <v>0</v>
      </c>
      <c r="T67" s="18">
        <f>'Project Inputs'!$C$15</f>
        <v>0.1</v>
      </c>
      <c r="U67" s="17">
        <f t="shared" si="18"/>
        <v>0</v>
      </c>
      <c r="V67" s="11" t="s">
        <v>247</v>
      </c>
      <c r="W67" s="14" t="str">
        <f>IFERROR(VLOOKUP($B67,'Cost Library'!$A$2:$M$159,10,FALSE),"")</f>
        <v/>
      </c>
      <c r="X67" s="11"/>
      <c r="Y67" s="11"/>
      <c r="Z67" s="11"/>
      <c r="AA67" s="11"/>
      <c r="AB67" s="11"/>
      <c r="AC67" s="11"/>
      <c r="AD67" s="30"/>
      <c r="AE67" s="31"/>
      <c r="AF67" s="3">
        <f t="shared" si="19"/>
        <v>0</v>
      </c>
      <c r="AG67" s="31"/>
      <c r="AH67" s="31"/>
      <c r="AI67" s="3">
        <f t="shared" si="20"/>
        <v>0</v>
      </c>
      <c r="AJ67" s="31"/>
      <c r="AK67" s="31"/>
      <c r="AL67" s="3">
        <f t="shared" si="21"/>
        <v>0</v>
      </c>
      <c r="AM67" s="3">
        <f>IF($A67&lt;&gt;"Yes",0,IF($R67="Detailed Breakdown",$AF67,$S67*IFERROR(VLOOKUP($B67,'Cost Library'!$A$2:$Q$159,14,FALSE),0.4)))</f>
        <v>0</v>
      </c>
      <c r="AN67" s="3">
        <f>IF($A67&lt;&gt;"Yes",0,IF($R67="Detailed Breakdown",$AI67,$S67*IFERROR(VLOOKUP($B67,'Cost Library'!$A$2:$Q$159,15,FALSE),0.5)))</f>
        <v>0</v>
      </c>
      <c r="AO67" s="3">
        <f>IF($A67&lt;&gt;"Yes",0,IF($R67="Detailed Breakdown",$AJ67+$AK67,$S67*IFERROR(VLOOKUP($B67,'Cost Library'!$A$2:$Q$159,16,FALSE),0.1)))</f>
        <v>0</v>
      </c>
      <c r="AP67" s="3">
        <f t="shared" si="22"/>
        <v>0</v>
      </c>
      <c r="AQ67" s="32">
        <f t="shared" si="23"/>
        <v>0</v>
      </c>
      <c r="AR67" s="32">
        <f t="shared" si="24"/>
        <v>0</v>
      </c>
      <c r="AS67" s="32">
        <f t="shared" si="25"/>
        <v>0</v>
      </c>
      <c r="AT67" s="2" t="str">
        <f t="shared" si="26"/>
        <v/>
      </c>
      <c r="AU67" s="31" t="s">
        <v>116</v>
      </c>
      <c r="AV67" s="3">
        <f t="shared" si="27"/>
        <v>0</v>
      </c>
      <c r="AW67" s="3">
        <f t="shared" si="28"/>
        <v>0</v>
      </c>
      <c r="AX67" s="3">
        <f t="shared" si="29"/>
        <v>0</v>
      </c>
      <c r="AY67" s="3">
        <f t="shared" si="30"/>
        <v>0</v>
      </c>
      <c r="AZ67" s="3">
        <f t="shared" si="31"/>
        <v>0</v>
      </c>
      <c r="BA67" s="32">
        <f t="shared" si="32"/>
        <v>0</v>
      </c>
      <c r="BB67" s="2" t="str">
        <f t="shared" si="33"/>
        <v/>
      </c>
    </row>
    <row r="68" spans="1:54" ht="14.4">
      <c r="A68" s="13" t="s">
        <v>161</v>
      </c>
      <c r="B68" s="13"/>
      <c r="C68" s="14" t="str">
        <f>IFERROR(VLOOKUP($B68,'Cost Library'!$A$2:$M$159,2,FALSE),"")</f>
        <v/>
      </c>
      <c r="D68" s="14" t="str">
        <f>IFERROR(VLOOKUP($B68,'Cost Library'!$A$2:$M$159,3,FALSE),"")</f>
        <v/>
      </c>
      <c r="E68" s="13"/>
      <c r="F68" s="13"/>
      <c r="G68" s="13" t="str">
        <f>IFERROR(VLOOKUP($B68,'Cost Library'!$A$2:$M$159,5,FALSE),"")</f>
        <v/>
      </c>
      <c r="H68" s="13"/>
      <c r="I68" s="13"/>
      <c r="J68" s="13"/>
      <c r="K68" s="13"/>
      <c r="L68" s="13">
        <v>1</v>
      </c>
      <c r="M68" s="14" t="str">
        <f>IFERROR(VLOOKUP($B68,'Cost Library'!$A$2:$M$159,6,FALSE),"")</f>
        <v/>
      </c>
      <c r="N68" s="15">
        <f>IFERROR(VLOOKUP($B68,'Cost Library'!$A$2:$M$159,7,FALSE),0)</f>
        <v>0</v>
      </c>
      <c r="O68" s="15">
        <f>IFERROR(VLOOKUP($B68,'Cost Library'!$A$2:$M$159,8,FALSE),0)</f>
        <v>0</v>
      </c>
      <c r="P68" s="15">
        <f>IFERROR(VLOOKUP($B68,'Cost Library'!$A$2:$M$159,9,FALSE),0)</f>
        <v>0</v>
      </c>
      <c r="Q68" s="16"/>
      <c r="R68" s="16" t="s">
        <v>116</v>
      </c>
      <c r="S68" s="17">
        <f t="shared" si="17"/>
        <v>0</v>
      </c>
      <c r="T68" s="18">
        <f>'Project Inputs'!$C$15</f>
        <v>0.1</v>
      </c>
      <c r="U68" s="17">
        <f t="shared" si="18"/>
        <v>0</v>
      </c>
      <c r="V68" s="11" t="s">
        <v>247</v>
      </c>
      <c r="W68" s="14" t="str">
        <f>IFERROR(VLOOKUP($B68,'Cost Library'!$A$2:$M$159,10,FALSE),"")</f>
        <v/>
      </c>
      <c r="X68" s="11"/>
      <c r="Y68" s="11"/>
      <c r="Z68" s="11"/>
      <c r="AA68" s="11"/>
      <c r="AB68" s="11"/>
      <c r="AC68" s="11"/>
      <c r="AD68" s="30"/>
      <c r="AE68" s="31"/>
      <c r="AF68" s="3">
        <f t="shared" si="19"/>
        <v>0</v>
      </c>
      <c r="AG68" s="31"/>
      <c r="AH68" s="31"/>
      <c r="AI68" s="3">
        <f t="shared" si="20"/>
        <v>0</v>
      </c>
      <c r="AJ68" s="31"/>
      <c r="AK68" s="31"/>
      <c r="AL68" s="3">
        <f t="shared" si="21"/>
        <v>0</v>
      </c>
      <c r="AM68" s="3">
        <f>IF($A68&lt;&gt;"Yes",0,IF($R68="Detailed Breakdown",$AF68,$S68*IFERROR(VLOOKUP($B68,'Cost Library'!$A$2:$Q$159,14,FALSE),0.4)))</f>
        <v>0</v>
      </c>
      <c r="AN68" s="3">
        <f>IF($A68&lt;&gt;"Yes",0,IF($R68="Detailed Breakdown",$AI68,$S68*IFERROR(VLOOKUP($B68,'Cost Library'!$A$2:$Q$159,15,FALSE),0.5)))</f>
        <v>0</v>
      </c>
      <c r="AO68" s="3">
        <f>IF($A68&lt;&gt;"Yes",0,IF($R68="Detailed Breakdown",$AJ68+$AK68,$S68*IFERROR(VLOOKUP($B68,'Cost Library'!$A$2:$Q$159,16,FALSE),0.1)))</f>
        <v>0</v>
      </c>
      <c r="AP68" s="3">
        <f t="shared" si="22"/>
        <v>0</v>
      </c>
      <c r="AQ68" s="32">
        <f t="shared" si="23"/>
        <v>0</v>
      </c>
      <c r="AR68" s="32">
        <f t="shared" si="24"/>
        <v>0</v>
      </c>
      <c r="AS68" s="32">
        <f t="shared" si="25"/>
        <v>0</v>
      </c>
      <c r="AT68" s="2" t="str">
        <f t="shared" si="26"/>
        <v/>
      </c>
      <c r="AU68" s="31" t="s">
        <v>116</v>
      </c>
      <c r="AV68" s="3">
        <f t="shared" si="27"/>
        <v>0</v>
      </c>
      <c r="AW68" s="3">
        <f t="shared" si="28"/>
        <v>0</v>
      </c>
      <c r="AX68" s="3">
        <f t="shared" si="29"/>
        <v>0</v>
      </c>
      <c r="AY68" s="3">
        <f t="shared" si="30"/>
        <v>0</v>
      </c>
      <c r="AZ68" s="3">
        <f t="shared" si="31"/>
        <v>0</v>
      </c>
      <c r="BA68" s="32">
        <f t="shared" si="32"/>
        <v>0</v>
      </c>
      <c r="BB68" s="2" t="str">
        <f t="shared" si="33"/>
        <v/>
      </c>
    </row>
    <row r="69" spans="1:54" ht="14.4">
      <c r="A69" s="13" t="s">
        <v>161</v>
      </c>
      <c r="B69" s="13"/>
      <c r="C69" s="14" t="str">
        <f>IFERROR(VLOOKUP($B69,'Cost Library'!$A$2:$M$159,2,FALSE),"")</f>
        <v/>
      </c>
      <c r="D69" s="14" t="str">
        <f>IFERROR(VLOOKUP($B69,'Cost Library'!$A$2:$M$159,3,FALSE),"")</f>
        <v/>
      </c>
      <c r="E69" s="13"/>
      <c r="F69" s="13"/>
      <c r="G69" s="13" t="str">
        <f>IFERROR(VLOOKUP($B69,'Cost Library'!$A$2:$M$159,5,FALSE),"")</f>
        <v/>
      </c>
      <c r="H69" s="13"/>
      <c r="I69" s="13"/>
      <c r="J69" s="13"/>
      <c r="K69" s="13"/>
      <c r="L69" s="13">
        <v>1</v>
      </c>
      <c r="M69" s="14" t="str">
        <f>IFERROR(VLOOKUP($B69,'Cost Library'!$A$2:$M$159,6,FALSE),"")</f>
        <v/>
      </c>
      <c r="N69" s="15">
        <f>IFERROR(VLOOKUP($B69,'Cost Library'!$A$2:$M$159,7,FALSE),0)</f>
        <v>0</v>
      </c>
      <c r="O69" s="15">
        <f>IFERROR(VLOOKUP($B69,'Cost Library'!$A$2:$M$159,8,FALSE),0)</f>
        <v>0</v>
      </c>
      <c r="P69" s="15">
        <f>IFERROR(VLOOKUP($B69,'Cost Library'!$A$2:$M$159,9,FALSE),0)</f>
        <v>0</v>
      </c>
      <c r="Q69" s="16"/>
      <c r="R69" s="16" t="s">
        <v>116</v>
      </c>
      <c r="S69" s="17">
        <f t="shared" si="17"/>
        <v>0</v>
      </c>
      <c r="T69" s="18">
        <f>'Project Inputs'!$C$15</f>
        <v>0.1</v>
      </c>
      <c r="U69" s="17">
        <f t="shared" si="18"/>
        <v>0</v>
      </c>
      <c r="V69" s="11" t="s">
        <v>247</v>
      </c>
      <c r="W69" s="14" t="str">
        <f>IFERROR(VLOOKUP($B69,'Cost Library'!$A$2:$M$159,10,FALSE),"")</f>
        <v/>
      </c>
      <c r="X69" s="11"/>
      <c r="Y69" s="11"/>
      <c r="Z69" s="11"/>
      <c r="AA69" s="11"/>
      <c r="AB69" s="11"/>
      <c r="AC69" s="11"/>
      <c r="AD69" s="30"/>
      <c r="AE69" s="31"/>
      <c r="AF69" s="3">
        <f t="shared" si="19"/>
        <v>0</v>
      </c>
      <c r="AG69" s="31"/>
      <c r="AH69" s="31"/>
      <c r="AI69" s="3">
        <f t="shared" si="20"/>
        <v>0</v>
      </c>
      <c r="AJ69" s="31"/>
      <c r="AK69" s="31"/>
      <c r="AL69" s="3">
        <f t="shared" si="21"/>
        <v>0</v>
      </c>
      <c r="AM69" s="3">
        <f>IF($A69&lt;&gt;"Yes",0,IF($R69="Detailed Breakdown",$AF69,$S69*IFERROR(VLOOKUP($B69,'Cost Library'!$A$2:$Q$159,14,FALSE),0.4)))</f>
        <v>0</v>
      </c>
      <c r="AN69" s="3">
        <f>IF($A69&lt;&gt;"Yes",0,IF($R69="Detailed Breakdown",$AI69,$S69*IFERROR(VLOOKUP($B69,'Cost Library'!$A$2:$Q$159,15,FALSE),0.5)))</f>
        <v>0</v>
      </c>
      <c r="AO69" s="3">
        <f>IF($A69&lt;&gt;"Yes",0,IF($R69="Detailed Breakdown",$AJ69+$AK69,$S69*IFERROR(VLOOKUP($B69,'Cost Library'!$A$2:$Q$159,16,FALSE),0.1)))</f>
        <v>0</v>
      </c>
      <c r="AP69" s="3">
        <f t="shared" si="22"/>
        <v>0</v>
      </c>
      <c r="AQ69" s="32">
        <f t="shared" si="23"/>
        <v>0</v>
      </c>
      <c r="AR69" s="32">
        <f t="shared" si="24"/>
        <v>0</v>
      </c>
      <c r="AS69" s="32">
        <f t="shared" si="25"/>
        <v>0</v>
      </c>
      <c r="AT69" s="2" t="str">
        <f t="shared" si="26"/>
        <v/>
      </c>
      <c r="AU69" s="31" t="s">
        <v>116</v>
      </c>
      <c r="AV69" s="3">
        <f t="shared" si="27"/>
        <v>0</v>
      </c>
      <c r="AW69" s="3">
        <f t="shared" si="28"/>
        <v>0</v>
      </c>
      <c r="AX69" s="3">
        <f t="shared" si="29"/>
        <v>0</v>
      </c>
      <c r="AY69" s="3">
        <f t="shared" si="30"/>
        <v>0</v>
      </c>
      <c r="AZ69" s="3">
        <f t="shared" si="31"/>
        <v>0</v>
      </c>
      <c r="BA69" s="32">
        <f t="shared" si="32"/>
        <v>0</v>
      </c>
      <c r="BB69" s="2" t="str">
        <f t="shared" si="33"/>
        <v/>
      </c>
    </row>
    <row r="70" spans="1:54" ht="14.4">
      <c r="A70" s="13" t="s">
        <v>161</v>
      </c>
      <c r="B70" s="13"/>
      <c r="C70" s="14" t="str">
        <f>IFERROR(VLOOKUP($B70,'Cost Library'!$A$2:$M$159,2,FALSE),"")</f>
        <v/>
      </c>
      <c r="D70" s="14" t="str">
        <f>IFERROR(VLOOKUP($B70,'Cost Library'!$A$2:$M$159,3,FALSE),"")</f>
        <v/>
      </c>
      <c r="E70" s="13"/>
      <c r="F70" s="13"/>
      <c r="G70" s="13" t="str">
        <f>IFERROR(VLOOKUP($B70,'Cost Library'!$A$2:$M$159,5,FALSE),"")</f>
        <v/>
      </c>
      <c r="H70" s="13"/>
      <c r="I70" s="13"/>
      <c r="J70" s="13"/>
      <c r="K70" s="13"/>
      <c r="L70" s="13">
        <v>1</v>
      </c>
      <c r="M70" s="14" t="str">
        <f>IFERROR(VLOOKUP($B70,'Cost Library'!$A$2:$M$159,6,FALSE),"")</f>
        <v/>
      </c>
      <c r="N70" s="15">
        <f>IFERROR(VLOOKUP($B70,'Cost Library'!$A$2:$M$159,7,FALSE),0)</f>
        <v>0</v>
      </c>
      <c r="O70" s="15">
        <f>IFERROR(VLOOKUP($B70,'Cost Library'!$A$2:$M$159,8,FALSE),0)</f>
        <v>0</v>
      </c>
      <c r="P70" s="15">
        <f>IFERROR(VLOOKUP($B70,'Cost Library'!$A$2:$M$159,9,FALSE),0)</f>
        <v>0</v>
      </c>
      <c r="Q70" s="16"/>
      <c r="R70" s="16" t="s">
        <v>116</v>
      </c>
      <c r="S70" s="17">
        <f t="shared" si="17"/>
        <v>0</v>
      </c>
      <c r="T70" s="18">
        <f>'Project Inputs'!$C$15</f>
        <v>0.1</v>
      </c>
      <c r="U70" s="17">
        <f t="shared" si="18"/>
        <v>0</v>
      </c>
      <c r="V70" s="11" t="s">
        <v>247</v>
      </c>
      <c r="W70" s="14" t="str">
        <f>IFERROR(VLOOKUP($B70,'Cost Library'!$A$2:$M$159,10,FALSE),"")</f>
        <v/>
      </c>
      <c r="X70" s="11"/>
      <c r="Y70" s="11"/>
      <c r="Z70" s="11"/>
      <c r="AA70" s="11"/>
      <c r="AB70" s="11"/>
      <c r="AC70" s="11"/>
      <c r="AD70" s="30"/>
      <c r="AE70" s="31"/>
      <c r="AF70" s="3">
        <f t="shared" si="19"/>
        <v>0</v>
      </c>
      <c r="AG70" s="31"/>
      <c r="AH70" s="31"/>
      <c r="AI70" s="3">
        <f t="shared" si="20"/>
        <v>0</v>
      </c>
      <c r="AJ70" s="31"/>
      <c r="AK70" s="31"/>
      <c r="AL70" s="3">
        <f t="shared" si="21"/>
        <v>0</v>
      </c>
      <c r="AM70" s="3">
        <f>IF($A70&lt;&gt;"Yes",0,IF($R70="Detailed Breakdown",$AF70,$S70*IFERROR(VLOOKUP($B70,'Cost Library'!$A$2:$Q$159,14,FALSE),0.4)))</f>
        <v>0</v>
      </c>
      <c r="AN70" s="3">
        <f>IF($A70&lt;&gt;"Yes",0,IF($R70="Detailed Breakdown",$AI70,$S70*IFERROR(VLOOKUP($B70,'Cost Library'!$A$2:$Q$159,15,FALSE),0.5)))</f>
        <v>0</v>
      </c>
      <c r="AO70" s="3">
        <f>IF($A70&lt;&gt;"Yes",0,IF($R70="Detailed Breakdown",$AJ70+$AK70,$S70*IFERROR(VLOOKUP($B70,'Cost Library'!$A$2:$Q$159,16,FALSE),0.1)))</f>
        <v>0</v>
      </c>
      <c r="AP70" s="3">
        <f t="shared" si="22"/>
        <v>0</v>
      </c>
      <c r="AQ70" s="32">
        <f t="shared" si="23"/>
        <v>0</v>
      </c>
      <c r="AR70" s="32">
        <f t="shared" si="24"/>
        <v>0</v>
      </c>
      <c r="AS70" s="32">
        <f t="shared" si="25"/>
        <v>0</v>
      </c>
      <c r="AT70" s="2" t="str">
        <f t="shared" si="26"/>
        <v/>
      </c>
      <c r="AU70" s="31" t="s">
        <v>116</v>
      </c>
      <c r="AV70" s="3">
        <f t="shared" si="27"/>
        <v>0</v>
      </c>
      <c r="AW70" s="3">
        <f t="shared" si="28"/>
        <v>0</v>
      </c>
      <c r="AX70" s="3">
        <f t="shared" si="29"/>
        <v>0</v>
      </c>
      <c r="AY70" s="3">
        <f t="shared" si="30"/>
        <v>0</v>
      </c>
      <c r="AZ70" s="3">
        <f t="shared" si="31"/>
        <v>0</v>
      </c>
      <c r="BA70" s="32">
        <f t="shared" si="32"/>
        <v>0</v>
      </c>
      <c r="BB70" s="2" t="str">
        <f t="shared" si="33"/>
        <v/>
      </c>
    </row>
    <row r="71" spans="1:54" ht="14.4">
      <c r="A71" s="13" t="s">
        <v>161</v>
      </c>
      <c r="B71" s="13"/>
      <c r="C71" s="14" t="str">
        <f>IFERROR(VLOOKUP($B71,'Cost Library'!$A$2:$M$159,2,FALSE),"")</f>
        <v/>
      </c>
      <c r="D71" s="14" t="str">
        <f>IFERROR(VLOOKUP($B71,'Cost Library'!$A$2:$M$159,3,FALSE),"")</f>
        <v/>
      </c>
      <c r="E71" s="13"/>
      <c r="F71" s="13"/>
      <c r="G71" s="13" t="str">
        <f>IFERROR(VLOOKUP($B71,'Cost Library'!$A$2:$M$159,5,FALSE),"")</f>
        <v/>
      </c>
      <c r="H71" s="13"/>
      <c r="I71" s="13"/>
      <c r="J71" s="13"/>
      <c r="K71" s="13"/>
      <c r="L71" s="13">
        <v>1</v>
      </c>
      <c r="M71" s="14" t="str">
        <f>IFERROR(VLOOKUP($B71,'Cost Library'!$A$2:$M$159,6,FALSE),"")</f>
        <v/>
      </c>
      <c r="N71" s="15">
        <f>IFERROR(VLOOKUP($B71,'Cost Library'!$A$2:$M$159,7,FALSE),0)</f>
        <v>0</v>
      </c>
      <c r="O71" s="15">
        <f>IFERROR(VLOOKUP($B71,'Cost Library'!$A$2:$M$159,8,FALSE),0)</f>
        <v>0</v>
      </c>
      <c r="P71" s="15">
        <f>IFERROR(VLOOKUP($B71,'Cost Library'!$A$2:$M$159,9,FALSE),0)</f>
        <v>0</v>
      </c>
      <c r="Q71" s="16"/>
      <c r="R71" s="16" t="s">
        <v>116</v>
      </c>
      <c r="S71" s="17">
        <f t="shared" si="17"/>
        <v>0</v>
      </c>
      <c r="T71" s="18">
        <f>'Project Inputs'!$C$15</f>
        <v>0.1</v>
      </c>
      <c r="U71" s="17">
        <f t="shared" si="18"/>
        <v>0</v>
      </c>
      <c r="V71" s="11" t="s">
        <v>247</v>
      </c>
      <c r="W71" s="14" t="str">
        <f>IFERROR(VLOOKUP($B71,'Cost Library'!$A$2:$M$159,10,FALSE),"")</f>
        <v/>
      </c>
      <c r="X71" s="11"/>
      <c r="Y71" s="11"/>
      <c r="Z71" s="11"/>
      <c r="AA71" s="11"/>
      <c r="AB71" s="11"/>
      <c r="AC71" s="11"/>
      <c r="AD71" s="30"/>
      <c r="AE71" s="31"/>
      <c r="AF71" s="3">
        <f t="shared" si="19"/>
        <v>0</v>
      </c>
      <c r="AG71" s="31"/>
      <c r="AH71" s="31"/>
      <c r="AI71" s="3">
        <f t="shared" si="20"/>
        <v>0</v>
      </c>
      <c r="AJ71" s="31"/>
      <c r="AK71" s="31"/>
      <c r="AL71" s="3">
        <f t="shared" si="21"/>
        <v>0</v>
      </c>
      <c r="AM71" s="3">
        <f>IF($A71&lt;&gt;"Yes",0,IF($R71="Detailed Breakdown",$AF71,$S71*IFERROR(VLOOKUP($B71,'Cost Library'!$A$2:$Q$159,14,FALSE),0.4)))</f>
        <v>0</v>
      </c>
      <c r="AN71" s="3">
        <f>IF($A71&lt;&gt;"Yes",0,IF($R71="Detailed Breakdown",$AI71,$S71*IFERROR(VLOOKUP($B71,'Cost Library'!$A$2:$Q$159,15,FALSE),0.5)))</f>
        <v>0</v>
      </c>
      <c r="AO71" s="3">
        <f>IF($A71&lt;&gt;"Yes",0,IF($R71="Detailed Breakdown",$AJ71+$AK71,$S71*IFERROR(VLOOKUP($B71,'Cost Library'!$A$2:$Q$159,16,FALSE),0.1)))</f>
        <v>0</v>
      </c>
      <c r="AP71" s="3">
        <f t="shared" si="22"/>
        <v>0</v>
      </c>
      <c r="AQ71" s="32">
        <f t="shared" si="23"/>
        <v>0</v>
      </c>
      <c r="AR71" s="32">
        <f t="shared" si="24"/>
        <v>0</v>
      </c>
      <c r="AS71" s="32">
        <f t="shared" si="25"/>
        <v>0</v>
      </c>
      <c r="AT71" s="2" t="str">
        <f t="shared" si="26"/>
        <v/>
      </c>
      <c r="AU71" s="31" t="s">
        <v>116</v>
      </c>
      <c r="AV71" s="3">
        <f t="shared" si="27"/>
        <v>0</v>
      </c>
      <c r="AW71" s="3">
        <f t="shared" si="28"/>
        <v>0</v>
      </c>
      <c r="AX71" s="3">
        <f t="shared" si="29"/>
        <v>0</v>
      </c>
      <c r="AY71" s="3">
        <f t="shared" si="30"/>
        <v>0</v>
      </c>
      <c r="AZ71" s="3">
        <f t="shared" si="31"/>
        <v>0</v>
      </c>
      <c r="BA71" s="32">
        <f t="shared" si="32"/>
        <v>0</v>
      </c>
      <c r="BB71" s="2" t="str">
        <f t="shared" si="33"/>
        <v/>
      </c>
    </row>
    <row r="72" spans="1:54" ht="14.4">
      <c r="A72" s="13" t="s">
        <v>161</v>
      </c>
      <c r="B72" s="13"/>
      <c r="C72" s="14" t="str">
        <f>IFERROR(VLOOKUP($B72,'Cost Library'!$A$2:$M$159,2,FALSE),"")</f>
        <v/>
      </c>
      <c r="D72" s="14" t="str">
        <f>IFERROR(VLOOKUP($B72,'Cost Library'!$A$2:$M$159,3,FALSE),"")</f>
        <v/>
      </c>
      <c r="E72" s="13"/>
      <c r="F72" s="13"/>
      <c r="G72" s="13" t="str">
        <f>IFERROR(VLOOKUP($B72,'Cost Library'!$A$2:$M$159,5,FALSE),"")</f>
        <v/>
      </c>
      <c r="H72" s="13"/>
      <c r="I72" s="13"/>
      <c r="J72" s="13"/>
      <c r="K72" s="13"/>
      <c r="L72" s="13">
        <v>1</v>
      </c>
      <c r="M72" s="14" t="str">
        <f>IFERROR(VLOOKUP($B72,'Cost Library'!$A$2:$M$159,6,FALSE),"")</f>
        <v/>
      </c>
      <c r="N72" s="15">
        <f>IFERROR(VLOOKUP($B72,'Cost Library'!$A$2:$M$159,7,FALSE),0)</f>
        <v>0</v>
      </c>
      <c r="O72" s="15">
        <f>IFERROR(VLOOKUP($B72,'Cost Library'!$A$2:$M$159,8,FALSE),0)</f>
        <v>0</v>
      </c>
      <c r="P72" s="15">
        <f>IFERROR(VLOOKUP($B72,'Cost Library'!$A$2:$M$159,9,FALSE),0)</f>
        <v>0</v>
      </c>
      <c r="Q72" s="16"/>
      <c r="R72" s="16" t="s">
        <v>116</v>
      </c>
      <c r="S72" s="17">
        <f t="shared" si="17"/>
        <v>0</v>
      </c>
      <c r="T72" s="18">
        <f>'Project Inputs'!$C$15</f>
        <v>0.1</v>
      </c>
      <c r="U72" s="17">
        <f t="shared" si="18"/>
        <v>0</v>
      </c>
      <c r="V72" s="11" t="s">
        <v>247</v>
      </c>
      <c r="W72" s="14" t="str">
        <f>IFERROR(VLOOKUP($B72,'Cost Library'!$A$2:$M$159,10,FALSE),"")</f>
        <v/>
      </c>
      <c r="X72" s="11"/>
      <c r="Y72" s="11"/>
      <c r="Z72" s="11"/>
      <c r="AA72" s="11"/>
      <c r="AB72" s="11"/>
      <c r="AC72" s="11"/>
      <c r="AD72" s="30"/>
      <c r="AE72" s="31"/>
      <c r="AF72" s="3">
        <f t="shared" si="19"/>
        <v>0</v>
      </c>
      <c r="AG72" s="31"/>
      <c r="AH72" s="31"/>
      <c r="AI72" s="3">
        <f t="shared" si="20"/>
        <v>0</v>
      </c>
      <c r="AJ72" s="31"/>
      <c r="AK72" s="31"/>
      <c r="AL72" s="3">
        <f t="shared" si="21"/>
        <v>0</v>
      </c>
      <c r="AM72" s="3">
        <f>IF($A72&lt;&gt;"Yes",0,IF($R72="Detailed Breakdown",$AF72,$S72*IFERROR(VLOOKUP($B72,'Cost Library'!$A$2:$Q$159,14,FALSE),0.4)))</f>
        <v>0</v>
      </c>
      <c r="AN72" s="3">
        <f>IF($A72&lt;&gt;"Yes",0,IF($R72="Detailed Breakdown",$AI72,$S72*IFERROR(VLOOKUP($B72,'Cost Library'!$A$2:$Q$159,15,FALSE),0.5)))</f>
        <v>0</v>
      </c>
      <c r="AO72" s="3">
        <f>IF($A72&lt;&gt;"Yes",0,IF($R72="Detailed Breakdown",$AJ72+$AK72,$S72*IFERROR(VLOOKUP($B72,'Cost Library'!$A$2:$Q$159,16,FALSE),0.1)))</f>
        <v>0</v>
      </c>
      <c r="AP72" s="3">
        <f t="shared" si="22"/>
        <v>0</v>
      </c>
      <c r="AQ72" s="32">
        <f t="shared" si="23"/>
        <v>0</v>
      </c>
      <c r="AR72" s="32">
        <f t="shared" si="24"/>
        <v>0</v>
      </c>
      <c r="AS72" s="32">
        <f t="shared" si="25"/>
        <v>0</v>
      </c>
      <c r="AT72" s="2" t="str">
        <f t="shared" si="26"/>
        <v/>
      </c>
      <c r="AU72" s="31" t="s">
        <v>116</v>
      </c>
      <c r="AV72" s="3">
        <f t="shared" si="27"/>
        <v>0</v>
      </c>
      <c r="AW72" s="3">
        <f t="shared" si="28"/>
        <v>0</v>
      </c>
      <c r="AX72" s="3">
        <f t="shared" si="29"/>
        <v>0</v>
      </c>
      <c r="AY72" s="3">
        <f t="shared" si="30"/>
        <v>0</v>
      </c>
      <c r="AZ72" s="3">
        <f t="shared" si="31"/>
        <v>0</v>
      </c>
      <c r="BA72" s="32">
        <f t="shared" si="32"/>
        <v>0</v>
      </c>
      <c r="BB72" s="2" t="str">
        <f t="shared" si="33"/>
        <v/>
      </c>
    </row>
    <row r="73" spans="1:54" ht="14.4">
      <c r="A73" s="13" t="s">
        <v>161</v>
      </c>
      <c r="B73" s="13"/>
      <c r="C73" s="14" t="str">
        <f>IFERROR(VLOOKUP($B73,'Cost Library'!$A$2:$M$159,2,FALSE),"")</f>
        <v/>
      </c>
      <c r="D73" s="14" t="str">
        <f>IFERROR(VLOOKUP($B73,'Cost Library'!$A$2:$M$159,3,FALSE),"")</f>
        <v/>
      </c>
      <c r="E73" s="13"/>
      <c r="F73" s="13"/>
      <c r="G73" s="13" t="str">
        <f>IFERROR(VLOOKUP($B73,'Cost Library'!$A$2:$M$159,5,FALSE),"")</f>
        <v/>
      </c>
      <c r="H73" s="13"/>
      <c r="I73" s="13"/>
      <c r="J73" s="13"/>
      <c r="K73" s="13"/>
      <c r="L73" s="13">
        <v>1</v>
      </c>
      <c r="M73" s="14" t="str">
        <f>IFERROR(VLOOKUP($B73,'Cost Library'!$A$2:$M$159,6,FALSE),"")</f>
        <v/>
      </c>
      <c r="N73" s="15">
        <f>IFERROR(VLOOKUP($B73,'Cost Library'!$A$2:$M$159,7,FALSE),0)</f>
        <v>0</v>
      </c>
      <c r="O73" s="15">
        <f>IFERROR(VLOOKUP($B73,'Cost Library'!$A$2:$M$159,8,FALSE),0)</f>
        <v>0</v>
      </c>
      <c r="P73" s="15">
        <f>IFERROR(VLOOKUP($B73,'Cost Library'!$A$2:$M$159,9,FALSE),0)</f>
        <v>0</v>
      </c>
      <c r="Q73" s="16"/>
      <c r="R73" s="16" t="s">
        <v>116</v>
      </c>
      <c r="S73" s="17">
        <f t="shared" si="17"/>
        <v>0</v>
      </c>
      <c r="T73" s="18">
        <f>'Project Inputs'!$C$15</f>
        <v>0.1</v>
      </c>
      <c r="U73" s="17">
        <f t="shared" si="18"/>
        <v>0</v>
      </c>
      <c r="V73" s="11" t="s">
        <v>247</v>
      </c>
      <c r="W73" s="14" t="str">
        <f>IFERROR(VLOOKUP($B73,'Cost Library'!$A$2:$M$159,10,FALSE),"")</f>
        <v/>
      </c>
      <c r="X73" s="11"/>
      <c r="Y73" s="11"/>
      <c r="Z73" s="11"/>
      <c r="AA73" s="11"/>
      <c r="AB73" s="11"/>
      <c r="AC73" s="11"/>
      <c r="AD73" s="30"/>
      <c r="AE73" s="31"/>
      <c r="AF73" s="3">
        <f t="shared" si="19"/>
        <v>0</v>
      </c>
      <c r="AG73" s="31"/>
      <c r="AH73" s="31"/>
      <c r="AI73" s="3">
        <f t="shared" si="20"/>
        <v>0</v>
      </c>
      <c r="AJ73" s="31"/>
      <c r="AK73" s="31"/>
      <c r="AL73" s="3">
        <f t="shared" si="21"/>
        <v>0</v>
      </c>
      <c r="AM73" s="3">
        <f>IF($A73&lt;&gt;"Yes",0,IF($R73="Detailed Breakdown",$AF73,$S73*IFERROR(VLOOKUP($B73,'Cost Library'!$A$2:$Q$159,14,FALSE),0.4)))</f>
        <v>0</v>
      </c>
      <c r="AN73" s="3">
        <f>IF($A73&lt;&gt;"Yes",0,IF($R73="Detailed Breakdown",$AI73,$S73*IFERROR(VLOOKUP($B73,'Cost Library'!$A$2:$Q$159,15,FALSE),0.5)))</f>
        <v>0</v>
      </c>
      <c r="AO73" s="3">
        <f>IF($A73&lt;&gt;"Yes",0,IF($R73="Detailed Breakdown",$AJ73+$AK73,$S73*IFERROR(VLOOKUP($B73,'Cost Library'!$A$2:$Q$159,16,FALSE),0.1)))</f>
        <v>0</v>
      </c>
      <c r="AP73" s="3">
        <f t="shared" si="22"/>
        <v>0</v>
      </c>
      <c r="AQ73" s="32">
        <f t="shared" si="23"/>
        <v>0</v>
      </c>
      <c r="AR73" s="32">
        <f t="shared" si="24"/>
        <v>0</v>
      </c>
      <c r="AS73" s="32">
        <f t="shared" si="25"/>
        <v>0</v>
      </c>
      <c r="AT73" s="2" t="str">
        <f t="shared" si="26"/>
        <v/>
      </c>
      <c r="AU73" s="31" t="s">
        <v>116</v>
      </c>
      <c r="AV73" s="3">
        <f t="shared" si="27"/>
        <v>0</v>
      </c>
      <c r="AW73" s="3">
        <f t="shared" si="28"/>
        <v>0</v>
      </c>
      <c r="AX73" s="3">
        <f t="shared" si="29"/>
        <v>0</v>
      </c>
      <c r="AY73" s="3">
        <f t="shared" si="30"/>
        <v>0</v>
      </c>
      <c r="AZ73" s="3">
        <f t="shared" si="31"/>
        <v>0</v>
      </c>
      <c r="BA73" s="32">
        <f t="shared" si="32"/>
        <v>0</v>
      </c>
      <c r="BB73" s="2" t="str">
        <f t="shared" si="33"/>
        <v/>
      </c>
    </row>
    <row r="74" spans="1:54" ht="14.4">
      <c r="A74" s="13" t="s">
        <v>161</v>
      </c>
      <c r="B74" s="13"/>
      <c r="C74" s="14" t="str">
        <f>IFERROR(VLOOKUP($B74,'Cost Library'!$A$2:$M$159,2,FALSE),"")</f>
        <v/>
      </c>
      <c r="D74" s="14" t="str">
        <f>IFERROR(VLOOKUP($B74,'Cost Library'!$A$2:$M$159,3,FALSE),"")</f>
        <v/>
      </c>
      <c r="E74" s="13"/>
      <c r="F74" s="13"/>
      <c r="G74" s="13" t="str">
        <f>IFERROR(VLOOKUP($B74,'Cost Library'!$A$2:$M$159,5,FALSE),"")</f>
        <v/>
      </c>
      <c r="H74" s="13"/>
      <c r="I74" s="13"/>
      <c r="J74" s="13"/>
      <c r="K74" s="13"/>
      <c r="L74" s="13">
        <v>1</v>
      </c>
      <c r="M74" s="14" t="str">
        <f>IFERROR(VLOOKUP($B74,'Cost Library'!$A$2:$M$159,6,FALSE),"")</f>
        <v/>
      </c>
      <c r="N74" s="15">
        <f>IFERROR(VLOOKUP($B74,'Cost Library'!$A$2:$M$159,7,FALSE),0)</f>
        <v>0</v>
      </c>
      <c r="O74" s="15">
        <f>IFERROR(VLOOKUP($B74,'Cost Library'!$A$2:$M$159,8,FALSE),0)</f>
        <v>0</v>
      </c>
      <c r="P74" s="15">
        <f>IFERROR(VLOOKUP($B74,'Cost Library'!$A$2:$M$159,9,FALSE),0)</f>
        <v>0</v>
      </c>
      <c r="Q74" s="16"/>
      <c r="R74" s="16" t="s">
        <v>116</v>
      </c>
      <c r="S74" s="17">
        <f t="shared" si="17"/>
        <v>0</v>
      </c>
      <c r="T74" s="18">
        <f>'Project Inputs'!$C$15</f>
        <v>0.1</v>
      </c>
      <c r="U74" s="17">
        <f t="shared" si="18"/>
        <v>0</v>
      </c>
      <c r="V74" s="11" t="s">
        <v>247</v>
      </c>
      <c r="W74" s="14" t="str">
        <f>IFERROR(VLOOKUP($B74,'Cost Library'!$A$2:$M$159,10,FALSE),"")</f>
        <v/>
      </c>
      <c r="X74" s="11"/>
      <c r="Y74" s="11"/>
      <c r="Z74" s="11"/>
      <c r="AA74" s="11"/>
      <c r="AB74" s="11"/>
      <c r="AC74" s="11"/>
      <c r="AD74" s="30"/>
      <c r="AE74" s="31"/>
      <c r="AF74" s="3">
        <f t="shared" si="19"/>
        <v>0</v>
      </c>
      <c r="AG74" s="31"/>
      <c r="AH74" s="31"/>
      <c r="AI74" s="3">
        <f t="shared" si="20"/>
        <v>0</v>
      </c>
      <c r="AJ74" s="31"/>
      <c r="AK74" s="31"/>
      <c r="AL74" s="3">
        <f t="shared" si="21"/>
        <v>0</v>
      </c>
      <c r="AM74" s="3">
        <f>IF($A74&lt;&gt;"Yes",0,IF($R74="Detailed Breakdown",$AF74,$S74*IFERROR(VLOOKUP($B74,'Cost Library'!$A$2:$Q$159,14,FALSE),0.4)))</f>
        <v>0</v>
      </c>
      <c r="AN74" s="3">
        <f>IF($A74&lt;&gt;"Yes",0,IF($R74="Detailed Breakdown",$AI74,$S74*IFERROR(VLOOKUP($B74,'Cost Library'!$A$2:$Q$159,15,FALSE),0.5)))</f>
        <v>0</v>
      </c>
      <c r="AO74" s="3">
        <f>IF($A74&lt;&gt;"Yes",0,IF($R74="Detailed Breakdown",$AJ74+$AK74,$S74*IFERROR(VLOOKUP($B74,'Cost Library'!$A$2:$Q$159,16,FALSE),0.1)))</f>
        <v>0</v>
      </c>
      <c r="AP74" s="3">
        <f t="shared" si="22"/>
        <v>0</v>
      </c>
      <c r="AQ74" s="32">
        <f t="shared" si="23"/>
        <v>0</v>
      </c>
      <c r="AR74" s="32">
        <f t="shared" si="24"/>
        <v>0</v>
      </c>
      <c r="AS74" s="32">
        <f t="shared" si="25"/>
        <v>0</v>
      </c>
      <c r="AT74" s="2" t="str">
        <f t="shared" si="26"/>
        <v/>
      </c>
      <c r="AU74" s="31" t="s">
        <v>116</v>
      </c>
      <c r="AV74" s="3">
        <f t="shared" si="27"/>
        <v>0</v>
      </c>
      <c r="AW74" s="3">
        <f t="shared" si="28"/>
        <v>0</v>
      </c>
      <c r="AX74" s="3">
        <f t="shared" si="29"/>
        <v>0</v>
      </c>
      <c r="AY74" s="3">
        <f t="shared" si="30"/>
        <v>0</v>
      </c>
      <c r="AZ74" s="3">
        <f t="shared" si="31"/>
        <v>0</v>
      </c>
      <c r="BA74" s="32">
        <f t="shared" si="32"/>
        <v>0</v>
      </c>
      <c r="BB74" s="2" t="str">
        <f t="shared" si="33"/>
        <v/>
      </c>
    </row>
    <row r="75" spans="1:54" ht="14.4">
      <c r="A75" s="13" t="s">
        <v>161</v>
      </c>
      <c r="B75" s="13"/>
      <c r="C75" s="14" t="str">
        <f>IFERROR(VLOOKUP($B75,'Cost Library'!$A$2:$M$159,2,FALSE),"")</f>
        <v/>
      </c>
      <c r="D75" s="14" t="str">
        <f>IFERROR(VLOOKUP($B75,'Cost Library'!$A$2:$M$159,3,FALSE),"")</f>
        <v/>
      </c>
      <c r="E75" s="13"/>
      <c r="F75" s="13"/>
      <c r="G75" s="13" t="str">
        <f>IFERROR(VLOOKUP($B75,'Cost Library'!$A$2:$M$159,5,FALSE),"")</f>
        <v/>
      </c>
      <c r="H75" s="13"/>
      <c r="I75" s="13"/>
      <c r="J75" s="13"/>
      <c r="K75" s="13"/>
      <c r="L75" s="13">
        <v>1</v>
      </c>
      <c r="M75" s="14" t="str">
        <f>IFERROR(VLOOKUP($B75,'Cost Library'!$A$2:$M$159,6,FALSE),"")</f>
        <v/>
      </c>
      <c r="N75" s="15">
        <f>IFERROR(VLOOKUP($B75,'Cost Library'!$A$2:$M$159,7,FALSE),0)</f>
        <v>0</v>
      </c>
      <c r="O75" s="15">
        <f>IFERROR(VLOOKUP($B75,'Cost Library'!$A$2:$M$159,8,FALSE),0)</f>
        <v>0</v>
      </c>
      <c r="P75" s="15">
        <f>IFERROR(VLOOKUP($B75,'Cost Library'!$A$2:$M$159,9,FALSE),0)</f>
        <v>0</v>
      </c>
      <c r="Q75" s="16"/>
      <c r="R75" s="16" t="s">
        <v>116</v>
      </c>
      <c r="S75" s="17">
        <f t="shared" si="17"/>
        <v>0</v>
      </c>
      <c r="T75" s="18">
        <f>'Project Inputs'!$C$15</f>
        <v>0.1</v>
      </c>
      <c r="U75" s="17">
        <f t="shared" si="18"/>
        <v>0</v>
      </c>
      <c r="V75" s="11" t="s">
        <v>247</v>
      </c>
      <c r="W75" s="14" t="str">
        <f>IFERROR(VLOOKUP($B75,'Cost Library'!$A$2:$M$159,10,FALSE),"")</f>
        <v/>
      </c>
      <c r="X75" s="11"/>
      <c r="Y75" s="11"/>
      <c r="Z75" s="11"/>
      <c r="AA75" s="11"/>
      <c r="AB75" s="11"/>
      <c r="AC75" s="11"/>
      <c r="AD75" s="30"/>
      <c r="AE75" s="31"/>
      <c r="AF75" s="3">
        <f t="shared" si="19"/>
        <v>0</v>
      </c>
      <c r="AG75" s="31"/>
      <c r="AH75" s="31"/>
      <c r="AI75" s="3">
        <f t="shared" si="20"/>
        <v>0</v>
      </c>
      <c r="AJ75" s="31"/>
      <c r="AK75" s="31"/>
      <c r="AL75" s="3">
        <f t="shared" si="21"/>
        <v>0</v>
      </c>
      <c r="AM75" s="3">
        <f>IF($A75&lt;&gt;"Yes",0,IF($R75="Detailed Breakdown",$AF75,$S75*IFERROR(VLOOKUP($B75,'Cost Library'!$A$2:$Q$159,14,FALSE),0.4)))</f>
        <v>0</v>
      </c>
      <c r="AN75" s="3">
        <f>IF($A75&lt;&gt;"Yes",0,IF($R75="Detailed Breakdown",$AI75,$S75*IFERROR(VLOOKUP($B75,'Cost Library'!$A$2:$Q$159,15,FALSE),0.5)))</f>
        <v>0</v>
      </c>
      <c r="AO75" s="3">
        <f>IF($A75&lt;&gt;"Yes",0,IF($R75="Detailed Breakdown",$AJ75+$AK75,$S75*IFERROR(VLOOKUP($B75,'Cost Library'!$A$2:$Q$159,16,FALSE),0.1)))</f>
        <v>0</v>
      </c>
      <c r="AP75" s="3">
        <f t="shared" si="22"/>
        <v>0</v>
      </c>
      <c r="AQ75" s="32">
        <f t="shared" si="23"/>
        <v>0</v>
      </c>
      <c r="AR75" s="32">
        <f t="shared" si="24"/>
        <v>0</v>
      </c>
      <c r="AS75" s="32">
        <f t="shared" si="25"/>
        <v>0</v>
      </c>
      <c r="AT75" s="2" t="str">
        <f t="shared" si="26"/>
        <v/>
      </c>
      <c r="AU75" s="31" t="s">
        <v>116</v>
      </c>
      <c r="AV75" s="3">
        <f t="shared" si="27"/>
        <v>0</v>
      </c>
      <c r="AW75" s="3">
        <f t="shared" si="28"/>
        <v>0</v>
      </c>
      <c r="AX75" s="3">
        <f t="shared" si="29"/>
        <v>0</v>
      </c>
      <c r="AY75" s="3">
        <f t="shared" si="30"/>
        <v>0</v>
      </c>
      <c r="AZ75" s="3">
        <f t="shared" si="31"/>
        <v>0</v>
      </c>
      <c r="BA75" s="32">
        <f t="shared" si="32"/>
        <v>0</v>
      </c>
      <c r="BB75" s="2" t="str">
        <f t="shared" si="33"/>
        <v/>
      </c>
    </row>
    <row r="76" spans="1:54" ht="14.4">
      <c r="A76" s="13" t="s">
        <v>161</v>
      </c>
      <c r="B76" s="13"/>
      <c r="C76" s="14" t="str">
        <f>IFERROR(VLOOKUP($B76,'Cost Library'!$A$2:$M$159,2,FALSE),"")</f>
        <v/>
      </c>
      <c r="D76" s="14" t="str">
        <f>IFERROR(VLOOKUP($B76,'Cost Library'!$A$2:$M$159,3,FALSE),"")</f>
        <v/>
      </c>
      <c r="E76" s="13"/>
      <c r="F76" s="13"/>
      <c r="G76" s="13" t="str">
        <f>IFERROR(VLOOKUP($B76,'Cost Library'!$A$2:$M$159,5,FALSE),"")</f>
        <v/>
      </c>
      <c r="H76" s="13"/>
      <c r="I76" s="13"/>
      <c r="J76" s="13"/>
      <c r="K76" s="13"/>
      <c r="L76" s="13">
        <v>1</v>
      </c>
      <c r="M76" s="14" t="str">
        <f>IFERROR(VLOOKUP($B76,'Cost Library'!$A$2:$M$159,6,FALSE),"")</f>
        <v/>
      </c>
      <c r="N76" s="15">
        <f>IFERROR(VLOOKUP($B76,'Cost Library'!$A$2:$M$159,7,FALSE),0)</f>
        <v>0</v>
      </c>
      <c r="O76" s="15">
        <f>IFERROR(VLOOKUP($B76,'Cost Library'!$A$2:$M$159,8,FALSE),0)</f>
        <v>0</v>
      </c>
      <c r="P76" s="15">
        <f>IFERROR(VLOOKUP($B76,'Cost Library'!$A$2:$M$159,9,FALSE),0)</f>
        <v>0</v>
      </c>
      <c r="Q76" s="16"/>
      <c r="R76" s="16" t="s">
        <v>116</v>
      </c>
      <c r="S76" s="17">
        <f t="shared" si="17"/>
        <v>0</v>
      </c>
      <c r="T76" s="18">
        <f>'Project Inputs'!$C$15</f>
        <v>0.1</v>
      </c>
      <c r="U76" s="17">
        <f t="shared" si="18"/>
        <v>0</v>
      </c>
      <c r="V76" s="11" t="s">
        <v>247</v>
      </c>
      <c r="W76" s="14" t="str">
        <f>IFERROR(VLOOKUP($B76,'Cost Library'!$A$2:$M$159,10,FALSE),"")</f>
        <v/>
      </c>
      <c r="X76" s="11"/>
      <c r="Y76" s="11"/>
      <c r="Z76" s="11"/>
      <c r="AA76" s="11"/>
      <c r="AB76" s="11"/>
      <c r="AC76" s="11"/>
      <c r="AD76" s="30"/>
      <c r="AE76" s="31"/>
      <c r="AF76" s="3">
        <f t="shared" si="19"/>
        <v>0</v>
      </c>
      <c r="AG76" s="31"/>
      <c r="AH76" s="31"/>
      <c r="AI76" s="3">
        <f t="shared" si="20"/>
        <v>0</v>
      </c>
      <c r="AJ76" s="31"/>
      <c r="AK76" s="31"/>
      <c r="AL76" s="3">
        <f t="shared" si="21"/>
        <v>0</v>
      </c>
      <c r="AM76" s="3">
        <f>IF($A76&lt;&gt;"Yes",0,IF($R76="Detailed Breakdown",$AF76,$S76*IFERROR(VLOOKUP($B76,'Cost Library'!$A$2:$Q$159,14,FALSE),0.4)))</f>
        <v>0</v>
      </c>
      <c r="AN76" s="3">
        <f>IF($A76&lt;&gt;"Yes",0,IF($R76="Detailed Breakdown",$AI76,$S76*IFERROR(VLOOKUP($B76,'Cost Library'!$A$2:$Q$159,15,FALSE),0.5)))</f>
        <v>0</v>
      </c>
      <c r="AO76" s="3">
        <f>IF($A76&lt;&gt;"Yes",0,IF($R76="Detailed Breakdown",$AJ76+$AK76,$S76*IFERROR(VLOOKUP($B76,'Cost Library'!$A$2:$Q$159,16,FALSE),0.1)))</f>
        <v>0</v>
      </c>
      <c r="AP76" s="3">
        <f t="shared" si="22"/>
        <v>0</v>
      </c>
      <c r="AQ76" s="32">
        <f t="shared" si="23"/>
        <v>0</v>
      </c>
      <c r="AR76" s="32">
        <f t="shared" si="24"/>
        <v>0</v>
      </c>
      <c r="AS76" s="32">
        <f t="shared" si="25"/>
        <v>0</v>
      </c>
      <c r="AT76" s="2" t="str">
        <f t="shared" si="26"/>
        <v/>
      </c>
      <c r="AU76" s="31" t="s">
        <v>116</v>
      </c>
      <c r="AV76" s="3">
        <f t="shared" si="27"/>
        <v>0</v>
      </c>
      <c r="AW76" s="3">
        <f t="shared" si="28"/>
        <v>0</v>
      </c>
      <c r="AX76" s="3">
        <f t="shared" si="29"/>
        <v>0</v>
      </c>
      <c r="AY76" s="3">
        <f t="shared" si="30"/>
        <v>0</v>
      </c>
      <c r="AZ76" s="3">
        <f t="shared" si="31"/>
        <v>0</v>
      </c>
      <c r="BA76" s="32">
        <f t="shared" si="32"/>
        <v>0</v>
      </c>
      <c r="BB76" s="2" t="str">
        <f t="shared" si="33"/>
        <v/>
      </c>
    </row>
    <row r="77" spans="1:54" ht="14.4">
      <c r="A77" s="13" t="s">
        <v>161</v>
      </c>
      <c r="B77" s="13"/>
      <c r="C77" s="14" t="str">
        <f>IFERROR(VLOOKUP($B77,'Cost Library'!$A$2:$M$159,2,FALSE),"")</f>
        <v/>
      </c>
      <c r="D77" s="14" t="str">
        <f>IFERROR(VLOOKUP($B77,'Cost Library'!$A$2:$M$159,3,FALSE),"")</f>
        <v/>
      </c>
      <c r="E77" s="13"/>
      <c r="F77" s="13"/>
      <c r="G77" s="13" t="str">
        <f>IFERROR(VLOOKUP($B77,'Cost Library'!$A$2:$M$159,5,FALSE),"")</f>
        <v/>
      </c>
      <c r="H77" s="13"/>
      <c r="I77" s="13"/>
      <c r="J77" s="13"/>
      <c r="K77" s="13"/>
      <c r="L77" s="13">
        <v>1</v>
      </c>
      <c r="M77" s="14" t="str">
        <f>IFERROR(VLOOKUP($B77,'Cost Library'!$A$2:$M$159,6,FALSE),"")</f>
        <v/>
      </c>
      <c r="N77" s="15">
        <f>IFERROR(VLOOKUP($B77,'Cost Library'!$A$2:$M$159,7,FALSE),0)</f>
        <v>0</v>
      </c>
      <c r="O77" s="15">
        <f>IFERROR(VLOOKUP($B77,'Cost Library'!$A$2:$M$159,8,FALSE),0)</f>
        <v>0</v>
      </c>
      <c r="P77" s="15">
        <f>IFERROR(VLOOKUP($B77,'Cost Library'!$A$2:$M$159,9,FALSE),0)</f>
        <v>0</v>
      </c>
      <c r="Q77" s="16"/>
      <c r="R77" s="16" t="s">
        <v>116</v>
      </c>
      <c r="S77" s="17">
        <f t="shared" si="17"/>
        <v>0</v>
      </c>
      <c r="T77" s="18">
        <f>'Project Inputs'!$C$15</f>
        <v>0.1</v>
      </c>
      <c r="U77" s="17">
        <f t="shared" si="18"/>
        <v>0</v>
      </c>
      <c r="V77" s="11" t="s">
        <v>247</v>
      </c>
      <c r="W77" s="14" t="str">
        <f>IFERROR(VLOOKUP($B77,'Cost Library'!$A$2:$M$159,10,FALSE),"")</f>
        <v/>
      </c>
      <c r="X77" s="11"/>
      <c r="Y77" s="11"/>
      <c r="Z77" s="11"/>
      <c r="AA77" s="11"/>
      <c r="AB77" s="11"/>
      <c r="AC77" s="11"/>
      <c r="AD77" s="30"/>
      <c r="AE77" s="31"/>
      <c r="AF77" s="3">
        <f t="shared" si="19"/>
        <v>0</v>
      </c>
      <c r="AG77" s="31"/>
      <c r="AH77" s="31"/>
      <c r="AI77" s="3">
        <f t="shared" si="20"/>
        <v>0</v>
      </c>
      <c r="AJ77" s="31"/>
      <c r="AK77" s="31"/>
      <c r="AL77" s="3">
        <f t="shared" si="21"/>
        <v>0</v>
      </c>
      <c r="AM77" s="3">
        <f>IF($A77&lt;&gt;"Yes",0,IF($R77="Detailed Breakdown",$AF77,$S77*IFERROR(VLOOKUP($B77,'Cost Library'!$A$2:$Q$159,14,FALSE),0.4)))</f>
        <v>0</v>
      </c>
      <c r="AN77" s="3">
        <f>IF($A77&lt;&gt;"Yes",0,IF($R77="Detailed Breakdown",$AI77,$S77*IFERROR(VLOOKUP($B77,'Cost Library'!$A$2:$Q$159,15,FALSE),0.5)))</f>
        <v>0</v>
      </c>
      <c r="AO77" s="3">
        <f>IF($A77&lt;&gt;"Yes",0,IF($R77="Detailed Breakdown",$AJ77+$AK77,$S77*IFERROR(VLOOKUP($B77,'Cost Library'!$A$2:$Q$159,16,FALSE),0.1)))</f>
        <v>0</v>
      </c>
      <c r="AP77" s="3">
        <f t="shared" si="22"/>
        <v>0</v>
      </c>
      <c r="AQ77" s="32">
        <f t="shared" si="23"/>
        <v>0</v>
      </c>
      <c r="AR77" s="32">
        <f t="shared" si="24"/>
        <v>0</v>
      </c>
      <c r="AS77" s="32">
        <f t="shared" si="25"/>
        <v>0</v>
      </c>
      <c r="AT77" s="2" t="str">
        <f t="shared" si="26"/>
        <v/>
      </c>
      <c r="AU77" s="31" t="s">
        <v>116</v>
      </c>
      <c r="AV77" s="3">
        <f t="shared" si="27"/>
        <v>0</v>
      </c>
      <c r="AW77" s="3">
        <f t="shared" si="28"/>
        <v>0</v>
      </c>
      <c r="AX77" s="3">
        <f t="shared" si="29"/>
        <v>0</v>
      </c>
      <c r="AY77" s="3">
        <f t="shared" si="30"/>
        <v>0</v>
      </c>
      <c r="AZ77" s="3">
        <f t="shared" si="31"/>
        <v>0</v>
      </c>
      <c r="BA77" s="32">
        <f t="shared" si="32"/>
        <v>0</v>
      </c>
      <c r="BB77" s="2" t="str">
        <f t="shared" si="33"/>
        <v/>
      </c>
    </row>
    <row r="78" spans="1:54" ht="14.4">
      <c r="A78" s="13" t="s">
        <v>161</v>
      </c>
      <c r="B78" s="13"/>
      <c r="C78" s="14" t="str">
        <f>IFERROR(VLOOKUP($B78,'Cost Library'!$A$2:$M$159,2,FALSE),"")</f>
        <v/>
      </c>
      <c r="D78" s="14" t="str">
        <f>IFERROR(VLOOKUP($B78,'Cost Library'!$A$2:$M$159,3,FALSE),"")</f>
        <v/>
      </c>
      <c r="E78" s="13"/>
      <c r="F78" s="13"/>
      <c r="G78" s="13" t="str">
        <f>IFERROR(VLOOKUP($B78,'Cost Library'!$A$2:$M$159,5,FALSE),"")</f>
        <v/>
      </c>
      <c r="H78" s="13"/>
      <c r="I78" s="13"/>
      <c r="J78" s="13"/>
      <c r="K78" s="13"/>
      <c r="L78" s="13">
        <v>1</v>
      </c>
      <c r="M78" s="14" t="str">
        <f>IFERROR(VLOOKUP($B78,'Cost Library'!$A$2:$M$159,6,FALSE),"")</f>
        <v/>
      </c>
      <c r="N78" s="15">
        <f>IFERROR(VLOOKUP($B78,'Cost Library'!$A$2:$M$159,7,FALSE),0)</f>
        <v>0</v>
      </c>
      <c r="O78" s="15">
        <f>IFERROR(VLOOKUP($B78,'Cost Library'!$A$2:$M$159,8,FALSE),0)</f>
        <v>0</v>
      </c>
      <c r="P78" s="15">
        <f>IFERROR(VLOOKUP($B78,'Cost Library'!$A$2:$M$159,9,FALSE),0)</f>
        <v>0</v>
      </c>
      <c r="Q78" s="16"/>
      <c r="R78" s="16" t="s">
        <v>116</v>
      </c>
      <c r="S78" s="17">
        <f t="shared" si="17"/>
        <v>0</v>
      </c>
      <c r="T78" s="18">
        <f>'Project Inputs'!$C$15</f>
        <v>0.1</v>
      </c>
      <c r="U78" s="17">
        <f t="shared" si="18"/>
        <v>0</v>
      </c>
      <c r="V78" s="11" t="s">
        <v>247</v>
      </c>
      <c r="W78" s="14" t="str">
        <f>IFERROR(VLOOKUP($B78,'Cost Library'!$A$2:$M$159,10,FALSE),"")</f>
        <v/>
      </c>
      <c r="X78" s="11"/>
      <c r="Y78" s="11"/>
      <c r="Z78" s="11"/>
      <c r="AA78" s="11"/>
      <c r="AB78" s="11"/>
      <c r="AC78" s="11"/>
      <c r="AD78" s="30"/>
      <c r="AE78" s="31"/>
      <c r="AF78" s="3">
        <f t="shared" si="19"/>
        <v>0</v>
      </c>
      <c r="AG78" s="31"/>
      <c r="AH78" s="31"/>
      <c r="AI78" s="3">
        <f t="shared" si="20"/>
        <v>0</v>
      </c>
      <c r="AJ78" s="31"/>
      <c r="AK78" s="31"/>
      <c r="AL78" s="3">
        <f t="shared" si="21"/>
        <v>0</v>
      </c>
      <c r="AM78" s="3">
        <f>IF($A78&lt;&gt;"Yes",0,IF($R78="Detailed Breakdown",$AF78,$S78*IFERROR(VLOOKUP($B78,'Cost Library'!$A$2:$Q$159,14,FALSE),0.4)))</f>
        <v>0</v>
      </c>
      <c r="AN78" s="3">
        <f>IF($A78&lt;&gt;"Yes",0,IF($R78="Detailed Breakdown",$AI78,$S78*IFERROR(VLOOKUP($B78,'Cost Library'!$A$2:$Q$159,15,FALSE),0.5)))</f>
        <v>0</v>
      </c>
      <c r="AO78" s="3">
        <f>IF($A78&lt;&gt;"Yes",0,IF($R78="Detailed Breakdown",$AJ78+$AK78,$S78*IFERROR(VLOOKUP($B78,'Cost Library'!$A$2:$Q$159,16,FALSE),0.1)))</f>
        <v>0</v>
      </c>
      <c r="AP78" s="3">
        <f t="shared" si="22"/>
        <v>0</v>
      </c>
      <c r="AQ78" s="32">
        <f t="shared" si="23"/>
        <v>0</v>
      </c>
      <c r="AR78" s="32">
        <f t="shared" si="24"/>
        <v>0</v>
      </c>
      <c r="AS78" s="32">
        <f t="shared" si="25"/>
        <v>0</v>
      </c>
      <c r="AT78" s="2" t="str">
        <f t="shared" si="26"/>
        <v/>
      </c>
      <c r="AU78" s="31" t="s">
        <v>116</v>
      </c>
      <c r="AV78" s="3">
        <f t="shared" si="27"/>
        <v>0</v>
      </c>
      <c r="AW78" s="3">
        <f t="shared" si="28"/>
        <v>0</v>
      </c>
      <c r="AX78" s="3">
        <f t="shared" si="29"/>
        <v>0</v>
      </c>
      <c r="AY78" s="3">
        <f t="shared" si="30"/>
        <v>0</v>
      </c>
      <c r="AZ78" s="3">
        <f t="shared" si="31"/>
        <v>0</v>
      </c>
      <c r="BA78" s="32">
        <f t="shared" si="32"/>
        <v>0</v>
      </c>
      <c r="BB78" s="2" t="str">
        <f t="shared" si="33"/>
        <v/>
      </c>
    </row>
    <row r="79" spans="1:54" ht="14.4">
      <c r="A79" s="13" t="s">
        <v>161</v>
      </c>
      <c r="B79" s="13"/>
      <c r="C79" s="14" t="str">
        <f>IFERROR(VLOOKUP($B79,'Cost Library'!$A$2:$M$159,2,FALSE),"")</f>
        <v/>
      </c>
      <c r="D79" s="14" t="str">
        <f>IFERROR(VLOOKUP($B79,'Cost Library'!$A$2:$M$159,3,FALSE),"")</f>
        <v/>
      </c>
      <c r="E79" s="13"/>
      <c r="F79" s="13"/>
      <c r="G79" s="13" t="str">
        <f>IFERROR(VLOOKUP($B79,'Cost Library'!$A$2:$M$159,5,FALSE),"")</f>
        <v/>
      </c>
      <c r="H79" s="13"/>
      <c r="I79" s="13"/>
      <c r="J79" s="13"/>
      <c r="K79" s="13"/>
      <c r="L79" s="13">
        <v>1</v>
      </c>
      <c r="M79" s="14" t="str">
        <f>IFERROR(VLOOKUP($B79,'Cost Library'!$A$2:$M$159,6,FALSE),"")</f>
        <v/>
      </c>
      <c r="N79" s="15">
        <f>IFERROR(VLOOKUP($B79,'Cost Library'!$A$2:$M$159,7,FALSE),0)</f>
        <v>0</v>
      </c>
      <c r="O79" s="15">
        <f>IFERROR(VLOOKUP($B79,'Cost Library'!$A$2:$M$159,8,FALSE),0)</f>
        <v>0</v>
      </c>
      <c r="P79" s="15">
        <f>IFERROR(VLOOKUP($B79,'Cost Library'!$A$2:$M$159,9,FALSE),0)</f>
        <v>0</v>
      </c>
      <c r="Q79" s="16"/>
      <c r="R79" s="16" t="s">
        <v>116</v>
      </c>
      <c r="S79" s="17">
        <f t="shared" si="17"/>
        <v>0</v>
      </c>
      <c r="T79" s="18">
        <f>'Project Inputs'!$C$15</f>
        <v>0.1</v>
      </c>
      <c r="U79" s="17">
        <f t="shared" si="18"/>
        <v>0</v>
      </c>
      <c r="V79" s="11" t="s">
        <v>247</v>
      </c>
      <c r="W79" s="14" t="str">
        <f>IFERROR(VLOOKUP($B79,'Cost Library'!$A$2:$M$159,10,FALSE),"")</f>
        <v/>
      </c>
      <c r="X79" s="11"/>
      <c r="Y79" s="11"/>
      <c r="Z79" s="11"/>
      <c r="AA79" s="11"/>
      <c r="AB79" s="11"/>
      <c r="AC79" s="11"/>
      <c r="AD79" s="30"/>
      <c r="AE79" s="31"/>
      <c r="AF79" s="3">
        <f t="shared" si="19"/>
        <v>0</v>
      </c>
      <c r="AG79" s="31"/>
      <c r="AH79" s="31"/>
      <c r="AI79" s="3">
        <f t="shared" si="20"/>
        <v>0</v>
      </c>
      <c r="AJ79" s="31"/>
      <c r="AK79" s="31"/>
      <c r="AL79" s="3">
        <f t="shared" si="21"/>
        <v>0</v>
      </c>
      <c r="AM79" s="3">
        <f>IF($A79&lt;&gt;"Yes",0,IF($R79="Detailed Breakdown",$AF79,$S79*IFERROR(VLOOKUP($B79,'Cost Library'!$A$2:$Q$159,14,FALSE),0.4)))</f>
        <v>0</v>
      </c>
      <c r="AN79" s="3">
        <f>IF($A79&lt;&gt;"Yes",0,IF($R79="Detailed Breakdown",$AI79,$S79*IFERROR(VLOOKUP($B79,'Cost Library'!$A$2:$Q$159,15,FALSE),0.5)))</f>
        <v>0</v>
      </c>
      <c r="AO79" s="3">
        <f>IF($A79&lt;&gt;"Yes",0,IF($R79="Detailed Breakdown",$AJ79+$AK79,$S79*IFERROR(VLOOKUP($B79,'Cost Library'!$A$2:$Q$159,16,FALSE),0.1)))</f>
        <v>0</v>
      </c>
      <c r="AP79" s="3">
        <f t="shared" si="22"/>
        <v>0</v>
      </c>
      <c r="AQ79" s="32">
        <f t="shared" si="23"/>
        <v>0</v>
      </c>
      <c r="AR79" s="32">
        <f t="shared" si="24"/>
        <v>0</v>
      </c>
      <c r="AS79" s="32">
        <f t="shared" si="25"/>
        <v>0</v>
      </c>
      <c r="AT79" s="2" t="str">
        <f t="shared" si="26"/>
        <v/>
      </c>
      <c r="AU79" s="31" t="s">
        <v>116</v>
      </c>
      <c r="AV79" s="3">
        <f t="shared" si="27"/>
        <v>0</v>
      </c>
      <c r="AW79" s="3">
        <f t="shared" si="28"/>
        <v>0</v>
      </c>
      <c r="AX79" s="3">
        <f t="shared" si="29"/>
        <v>0</v>
      </c>
      <c r="AY79" s="3">
        <f t="shared" si="30"/>
        <v>0</v>
      </c>
      <c r="AZ79" s="3">
        <f t="shared" si="31"/>
        <v>0</v>
      </c>
      <c r="BA79" s="32">
        <f t="shared" si="32"/>
        <v>0</v>
      </c>
      <c r="BB79" s="2" t="str">
        <f t="shared" si="33"/>
        <v/>
      </c>
    </row>
    <row r="80" spans="1:54" ht="14.4">
      <c r="A80" s="13" t="s">
        <v>161</v>
      </c>
      <c r="B80" s="13"/>
      <c r="C80" s="14" t="str">
        <f>IFERROR(VLOOKUP($B80,'Cost Library'!$A$2:$M$159,2,FALSE),"")</f>
        <v/>
      </c>
      <c r="D80" s="14" t="str">
        <f>IFERROR(VLOOKUP($B80,'Cost Library'!$A$2:$M$159,3,FALSE),"")</f>
        <v/>
      </c>
      <c r="E80" s="13"/>
      <c r="F80" s="13"/>
      <c r="G80" s="13" t="str">
        <f>IFERROR(VLOOKUP($B80,'Cost Library'!$A$2:$M$159,5,FALSE),"")</f>
        <v/>
      </c>
      <c r="H80" s="13"/>
      <c r="I80" s="13"/>
      <c r="J80" s="13"/>
      <c r="K80" s="13"/>
      <c r="L80" s="13">
        <v>1</v>
      </c>
      <c r="M80" s="14" t="str">
        <f>IFERROR(VLOOKUP($B80,'Cost Library'!$A$2:$M$159,6,FALSE),"")</f>
        <v/>
      </c>
      <c r="N80" s="15">
        <f>IFERROR(VLOOKUP($B80,'Cost Library'!$A$2:$M$159,7,FALSE),0)</f>
        <v>0</v>
      </c>
      <c r="O80" s="15">
        <f>IFERROR(VLOOKUP($B80,'Cost Library'!$A$2:$M$159,8,FALSE),0)</f>
        <v>0</v>
      </c>
      <c r="P80" s="15">
        <f>IFERROR(VLOOKUP($B80,'Cost Library'!$A$2:$M$159,9,FALSE),0)</f>
        <v>0</v>
      </c>
      <c r="Q80" s="16"/>
      <c r="R80" s="16" t="s">
        <v>116</v>
      </c>
      <c r="S80" s="17">
        <f t="shared" si="17"/>
        <v>0</v>
      </c>
      <c r="T80" s="18">
        <f>'Project Inputs'!$C$15</f>
        <v>0.1</v>
      </c>
      <c r="U80" s="17">
        <f t="shared" si="18"/>
        <v>0</v>
      </c>
      <c r="V80" s="11" t="s">
        <v>247</v>
      </c>
      <c r="W80" s="14" t="str">
        <f>IFERROR(VLOOKUP($B80,'Cost Library'!$A$2:$M$159,10,FALSE),"")</f>
        <v/>
      </c>
      <c r="X80" s="11"/>
      <c r="Y80" s="11"/>
      <c r="Z80" s="11"/>
      <c r="AA80" s="11"/>
      <c r="AB80" s="11"/>
      <c r="AC80" s="11"/>
      <c r="AD80" s="30"/>
      <c r="AE80" s="31"/>
      <c r="AF80" s="3">
        <f t="shared" si="19"/>
        <v>0</v>
      </c>
      <c r="AG80" s="31"/>
      <c r="AH80" s="31"/>
      <c r="AI80" s="3">
        <f t="shared" si="20"/>
        <v>0</v>
      </c>
      <c r="AJ80" s="31"/>
      <c r="AK80" s="31"/>
      <c r="AL80" s="3">
        <f t="shared" si="21"/>
        <v>0</v>
      </c>
      <c r="AM80" s="3">
        <f>IF($A80&lt;&gt;"Yes",0,IF($R80="Detailed Breakdown",$AF80,$S80*IFERROR(VLOOKUP($B80,'Cost Library'!$A$2:$Q$159,14,FALSE),0.4)))</f>
        <v>0</v>
      </c>
      <c r="AN80" s="3">
        <f>IF($A80&lt;&gt;"Yes",0,IF($R80="Detailed Breakdown",$AI80,$S80*IFERROR(VLOOKUP($B80,'Cost Library'!$A$2:$Q$159,15,FALSE),0.5)))</f>
        <v>0</v>
      </c>
      <c r="AO80" s="3">
        <f>IF($A80&lt;&gt;"Yes",0,IF($R80="Detailed Breakdown",$AJ80+$AK80,$S80*IFERROR(VLOOKUP($B80,'Cost Library'!$A$2:$Q$159,16,FALSE),0.1)))</f>
        <v>0</v>
      </c>
      <c r="AP80" s="3">
        <f t="shared" si="22"/>
        <v>0</v>
      </c>
      <c r="AQ80" s="32">
        <f t="shared" si="23"/>
        <v>0</v>
      </c>
      <c r="AR80" s="32">
        <f t="shared" si="24"/>
        <v>0</v>
      </c>
      <c r="AS80" s="32">
        <f t="shared" si="25"/>
        <v>0</v>
      </c>
      <c r="AT80" s="2" t="str">
        <f t="shared" si="26"/>
        <v/>
      </c>
      <c r="AU80" s="31" t="s">
        <v>116</v>
      </c>
      <c r="AV80" s="3">
        <f t="shared" si="27"/>
        <v>0</v>
      </c>
      <c r="AW80" s="3">
        <f t="shared" si="28"/>
        <v>0</v>
      </c>
      <c r="AX80" s="3">
        <f t="shared" si="29"/>
        <v>0</v>
      </c>
      <c r="AY80" s="3">
        <f t="shared" si="30"/>
        <v>0</v>
      </c>
      <c r="AZ80" s="3">
        <f t="shared" si="31"/>
        <v>0</v>
      </c>
      <c r="BA80" s="32">
        <f t="shared" si="32"/>
        <v>0</v>
      </c>
      <c r="BB80" s="2" t="str">
        <f t="shared" si="33"/>
        <v/>
      </c>
    </row>
    <row r="81" spans="1:54" ht="14.4">
      <c r="A81" s="13" t="s">
        <v>161</v>
      </c>
      <c r="B81" s="13"/>
      <c r="C81" s="14" t="str">
        <f>IFERROR(VLOOKUP($B81,'Cost Library'!$A$2:$M$159,2,FALSE),"")</f>
        <v/>
      </c>
      <c r="D81" s="14" t="str">
        <f>IFERROR(VLOOKUP($B81,'Cost Library'!$A$2:$M$159,3,FALSE),"")</f>
        <v/>
      </c>
      <c r="E81" s="13"/>
      <c r="F81" s="13"/>
      <c r="G81" s="13" t="str">
        <f>IFERROR(VLOOKUP($B81,'Cost Library'!$A$2:$M$159,5,FALSE),"")</f>
        <v/>
      </c>
      <c r="H81" s="13"/>
      <c r="I81" s="13"/>
      <c r="J81" s="13"/>
      <c r="K81" s="13"/>
      <c r="L81" s="13">
        <v>1</v>
      </c>
      <c r="M81" s="14" t="str">
        <f>IFERROR(VLOOKUP($B81,'Cost Library'!$A$2:$M$159,6,FALSE),"")</f>
        <v/>
      </c>
      <c r="N81" s="15">
        <f>IFERROR(VLOOKUP($B81,'Cost Library'!$A$2:$M$159,7,FALSE),0)</f>
        <v>0</v>
      </c>
      <c r="O81" s="15">
        <f>IFERROR(VLOOKUP($B81,'Cost Library'!$A$2:$M$159,8,FALSE),0)</f>
        <v>0</v>
      </c>
      <c r="P81" s="15">
        <f>IFERROR(VLOOKUP($B81,'Cost Library'!$A$2:$M$159,9,FALSE),0)</f>
        <v>0</v>
      </c>
      <c r="Q81" s="16"/>
      <c r="R81" s="16" t="s">
        <v>116</v>
      </c>
      <c r="S81" s="17">
        <f t="shared" si="17"/>
        <v>0</v>
      </c>
      <c r="T81" s="18">
        <f>'Project Inputs'!$C$15</f>
        <v>0.1</v>
      </c>
      <c r="U81" s="17">
        <f t="shared" si="18"/>
        <v>0</v>
      </c>
      <c r="V81" s="11" t="s">
        <v>247</v>
      </c>
      <c r="W81" s="14" t="str">
        <f>IFERROR(VLOOKUP($B81,'Cost Library'!$A$2:$M$159,10,FALSE),"")</f>
        <v/>
      </c>
      <c r="X81" s="11"/>
      <c r="Y81" s="11"/>
      <c r="Z81" s="11"/>
      <c r="AA81" s="11"/>
      <c r="AB81" s="11"/>
      <c r="AC81" s="11"/>
      <c r="AD81" s="30"/>
      <c r="AE81" s="31"/>
      <c r="AF81" s="3">
        <f t="shared" si="19"/>
        <v>0</v>
      </c>
      <c r="AG81" s="31"/>
      <c r="AH81" s="31"/>
      <c r="AI81" s="3">
        <f t="shared" si="20"/>
        <v>0</v>
      </c>
      <c r="AJ81" s="31"/>
      <c r="AK81" s="31"/>
      <c r="AL81" s="3">
        <f t="shared" si="21"/>
        <v>0</v>
      </c>
      <c r="AM81" s="3">
        <f>IF($A81&lt;&gt;"Yes",0,IF($R81="Detailed Breakdown",$AF81,$S81*IFERROR(VLOOKUP($B81,'Cost Library'!$A$2:$Q$159,14,FALSE),0.4)))</f>
        <v>0</v>
      </c>
      <c r="AN81" s="3">
        <f>IF($A81&lt;&gt;"Yes",0,IF($R81="Detailed Breakdown",$AI81,$S81*IFERROR(VLOOKUP($B81,'Cost Library'!$A$2:$Q$159,15,FALSE),0.5)))</f>
        <v>0</v>
      </c>
      <c r="AO81" s="3">
        <f>IF($A81&lt;&gt;"Yes",0,IF($R81="Detailed Breakdown",$AJ81+$AK81,$S81*IFERROR(VLOOKUP($B81,'Cost Library'!$A$2:$Q$159,16,FALSE),0.1)))</f>
        <v>0</v>
      </c>
      <c r="AP81" s="3">
        <f t="shared" si="22"/>
        <v>0</v>
      </c>
      <c r="AQ81" s="32">
        <f t="shared" si="23"/>
        <v>0</v>
      </c>
      <c r="AR81" s="32">
        <f t="shared" si="24"/>
        <v>0</v>
      </c>
      <c r="AS81" s="32">
        <f t="shared" si="25"/>
        <v>0</v>
      </c>
      <c r="AT81" s="2" t="str">
        <f t="shared" si="26"/>
        <v/>
      </c>
      <c r="AU81" s="31" t="s">
        <v>116</v>
      </c>
      <c r="AV81" s="3">
        <f t="shared" si="27"/>
        <v>0</v>
      </c>
      <c r="AW81" s="3">
        <f t="shared" si="28"/>
        <v>0</v>
      </c>
      <c r="AX81" s="3">
        <f t="shared" si="29"/>
        <v>0</v>
      </c>
      <c r="AY81" s="3">
        <f t="shared" si="30"/>
        <v>0</v>
      </c>
      <c r="AZ81" s="3">
        <f t="shared" si="31"/>
        <v>0</v>
      </c>
      <c r="BA81" s="32">
        <f t="shared" si="32"/>
        <v>0</v>
      </c>
      <c r="BB81" s="2" t="str">
        <f t="shared" si="33"/>
        <v/>
      </c>
    </row>
    <row r="82" spans="1:54" ht="14.4">
      <c r="A82" s="13" t="s">
        <v>161</v>
      </c>
      <c r="B82" s="13"/>
      <c r="C82" s="14" t="str">
        <f>IFERROR(VLOOKUP($B82,'Cost Library'!$A$2:$M$159,2,FALSE),"")</f>
        <v/>
      </c>
      <c r="D82" s="14" t="str">
        <f>IFERROR(VLOOKUP($B82,'Cost Library'!$A$2:$M$159,3,FALSE),"")</f>
        <v/>
      </c>
      <c r="E82" s="13"/>
      <c r="F82" s="13"/>
      <c r="G82" s="13" t="str">
        <f>IFERROR(VLOOKUP($B82,'Cost Library'!$A$2:$M$159,5,FALSE),"")</f>
        <v/>
      </c>
      <c r="H82" s="13"/>
      <c r="I82" s="13"/>
      <c r="J82" s="13"/>
      <c r="K82" s="13"/>
      <c r="L82" s="13">
        <v>1</v>
      </c>
      <c r="M82" s="14" t="str">
        <f>IFERROR(VLOOKUP($B82,'Cost Library'!$A$2:$M$159,6,FALSE),"")</f>
        <v/>
      </c>
      <c r="N82" s="15">
        <f>IFERROR(VLOOKUP($B82,'Cost Library'!$A$2:$M$159,7,FALSE),0)</f>
        <v>0</v>
      </c>
      <c r="O82" s="15">
        <f>IFERROR(VLOOKUP($B82,'Cost Library'!$A$2:$M$159,8,FALSE),0)</f>
        <v>0</v>
      </c>
      <c r="P82" s="15">
        <f>IFERROR(VLOOKUP($B82,'Cost Library'!$A$2:$M$159,9,FALSE),0)</f>
        <v>0</v>
      </c>
      <c r="Q82" s="16"/>
      <c r="R82" s="16" t="s">
        <v>116</v>
      </c>
      <c r="S82" s="17">
        <f t="shared" si="17"/>
        <v>0</v>
      </c>
      <c r="T82" s="18">
        <f>'Project Inputs'!$C$15</f>
        <v>0.1</v>
      </c>
      <c r="U82" s="17">
        <f t="shared" si="18"/>
        <v>0</v>
      </c>
      <c r="V82" s="11" t="s">
        <v>247</v>
      </c>
      <c r="W82" s="14" t="str">
        <f>IFERROR(VLOOKUP($B82,'Cost Library'!$A$2:$M$159,10,FALSE),"")</f>
        <v/>
      </c>
      <c r="X82" s="11"/>
      <c r="Y82" s="11"/>
      <c r="Z82" s="11"/>
      <c r="AA82" s="11"/>
      <c r="AB82" s="11"/>
      <c r="AC82" s="11"/>
      <c r="AD82" s="30"/>
      <c r="AE82" s="31"/>
      <c r="AF82" s="3">
        <f t="shared" si="19"/>
        <v>0</v>
      </c>
      <c r="AG82" s="31"/>
      <c r="AH82" s="31"/>
      <c r="AI82" s="3">
        <f t="shared" si="20"/>
        <v>0</v>
      </c>
      <c r="AJ82" s="31"/>
      <c r="AK82" s="31"/>
      <c r="AL82" s="3">
        <f t="shared" si="21"/>
        <v>0</v>
      </c>
      <c r="AM82" s="3">
        <f>IF($A82&lt;&gt;"Yes",0,IF($R82="Detailed Breakdown",$AF82,$S82*IFERROR(VLOOKUP($B82,'Cost Library'!$A$2:$Q$159,14,FALSE),0.4)))</f>
        <v>0</v>
      </c>
      <c r="AN82" s="3">
        <f>IF($A82&lt;&gt;"Yes",0,IF($R82="Detailed Breakdown",$AI82,$S82*IFERROR(VLOOKUP($B82,'Cost Library'!$A$2:$Q$159,15,FALSE),0.5)))</f>
        <v>0</v>
      </c>
      <c r="AO82" s="3">
        <f>IF($A82&lt;&gt;"Yes",0,IF($R82="Detailed Breakdown",$AJ82+$AK82,$S82*IFERROR(VLOOKUP($B82,'Cost Library'!$A$2:$Q$159,16,FALSE),0.1)))</f>
        <v>0</v>
      </c>
      <c r="AP82" s="3">
        <f t="shared" si="22"/>
        <v>0</v>
      </c>
      <c r="AQ82" s="32">
        <f t="shared" si="23"/>
        <v>0</v>
      </c>
      <c r="AR82" s="32">
        <f t="shared" si="24"/>
        <v>0</v>
      </c>
      <c r="AS82" s="32">
        <f t="shared" si="25"/>
        <v>0</v>
      </c>
      <c r="AT82" s="2" t="str">
        <f t="shared" si="26"/>
        <v/>
      </c>
      <c r="AU82" s="31" t="s">
        <v>116</v>
      </c>
      <c r="AV82" s="3">
        <f t="shared" si="27"/>
        <v>0</v>
      </c>
      <c r="AW82" s="3">
        <f t="shared" si="28"/>
        <v>0</v>
      </c>
      <c r="AX82" s="3">
        <f t="shared" si="29"/>
        <v>0</v>
      </c>
      <c r="AY82" s="3">
        <f t="shared" si="30"/>
        <v>0</v>
      </c>
      <c r="AZ82" s="3">
        <f t="shared" si="31"/>
        <v>0</v>
      </c>
      <c r="BA82" s="32">
        <f t="shared" si="32"/>
        <v>0</v>
      </c>
      <c r="BB82" s="2" t="str">
        <f t="shared" si="33"/>
        <v/>
      </c>
    </row>
    <row r="83" spans="1:54" ht="14.4">
      <c r="A83" s="13" t="s">
        <v>161</v>
      </c>
      <c r="B83" s="13"/>
      <c r="C83" s="14" t="str">
        <f>IFERROR(VLOOKUP($B83,'Cost Library'!$A$2:$M$159,2,FALSE),"")</f>
        <v/>
      </c>
      <c r="D83" s="14" t="str">
        <f>IFERROR(VLOOKUP($B83,'Cost Library'!$A$2:$M$159,3,FALSE),"")</f>
        <v/>
      </c>
      <c r="E83" s="13"/>
      <c r="F83" s="13"/>
      <c r="G83" s="13" t="str">
        <f>IFERROR(VLOOKUP($B83,'Cost Library'!$A$2:$M$159,5,FALSE),"")</f>
        <v/>
      </c>
      <c r="H83" s="13"/>
      <c r="I83" s="13"/>
      <c r="J83" s="13"/>
      <c r="K83" s="13"/>
      <c r="L83" s="13">
        <v>1</v>
      </c>
      <c r="M83" s="14" t="str">
        <f>IFERROR(VLOOKUP($B83,'Cost Library'!$A$2:$M$159,6,FALSE),"")</f>
        <v/>
      </c>
      <c r="N83" s="15">
        <f>IFERROR(VLOOKUP($B83,'Cost Library'!$A$2:$M$159,7,FALSE),0)</f>
        <v>0</v>
      </c>
      <c r="O83" s="15">
        <f>IFERROR(VLOOKUP($B83,'Cost Library'!$A$2:$M$159,8,FALSE),0)</f>
        <v>0</v>
      </c>
      <c r="P83" s="15">
        <f>IFERROR(VLOOKUP($B83,'Cost Library'!$A$2:$M$159,9,FALSE),0)</f>
        <v>0</v>
      </c>
      <c r="Q83" s="16"/>
      <c r="R83" s="16" t="s">
        <v>116</v>
      </c>
      <c r="S83" s="17">
        <f t="shared" si="17"/>
        <v>0</v>
      </c>
      <c r="T83" s="18">
        <f>'Project Inputs'!$C$15</f>
        <v>0.1</v>
      </c>
      <c r="U83" s="17">
        <f t="shared" si="18"/>
        <v>0</v>
      </c>
      <c r="V83" s="11" t="s">
        <v>247</v>
      </c>
      <c r="W83" s="14" t="str">
        <f>IFERROR(VLOOKUP($B83,'Cost Library'!$A$2:$M$159,10,FALSE),"")</f>
        <v/>
      </c>
      <c r="X83" s="11"/>
      <c r="Y83" s="11"/>
      <c r="Z83" s="11"/>
      <c r="AA83" s="11"/>
      <c r="AB83" s="11"/>
      <c r="AC83" s="11"/>
      <c r="AD83" s="30"/>
      <c r="AE83" s="31"/>
      <c r="AF83" s="3">
        <f t="shared" si="19"/>
        <v>0</v>
      </c>
      <c r="AG83" s="31"/>
      <c r="AH83" s="31"/>
      <c r="AI83" s="3">
        <f t="shared" si="20"/>
        <v>0</v>
      </c>
      <c r="AJ83" s="31"/>
      <c r="AK83" s="31"/>
      <c r="AL83" s="3">
        <f t="shared" si="21"/>
        <v>0</v>
      </c>
      <c r="AM83" s="3">
        <f>IF($A83&lt;&gt;"Yes",0,IF($R83="Detailed Breakdown",$AF83,$S83*IFERROR(VLOOKUP($B83,'Cost Library'!$A$2:$Q$159,14,FALSE),0.4)))</f>
        <v>0</v>
      </c>
      <c r="AN83" s="3">
        <f>IF($A83&lt;&gt;"Yes",0,IF($R83="Detailed Breakdown",$AI83,$S83*IFERROR(VLOOKUP($B83,'Cost Library'!$A$2:$Q$159,15,FALSE),0.5)))</f>
        <v>0</v>
      </c>
      <c r="AO83" s="3">
        <f>IF($A83&lt;&gt;"Yes",0,IF($R83="Detailed Breakdown",$AJ83+$AK83,$S83*IFERROR(VLOOKUP($B83,'Cost Library'!$A$2:$Q$159,16,FALSE),0.1)))</f>
        <v>0</v>
      </c>
      <c r="AP83" s="3">
        <f t="shared" si="22"/>
        <v>0</v>
      </c>
      <c r="AQ83" s="32">
        <f t="shared" si="23"/>
        <v>0</v>
      </c>
      <c r="AR83" s="32">
        <f t="shared" si="24"/>
        <v>0</v>
      </c>
      <c r="AS83" s="32">
        <f t="shared" si="25"/>
        <v>0</v>
      </c>
      <c r="AT83" s="2" t="str">
        <f t="shared" si="26"/>
        <v/>
      </c>
      <c r="AU83" s="31" t="s">
        <v>116</v>
      </c>
      <c r="AV83" s="3">
        <f t="shared" si="27"/>
        <v>0</v>
      </c>
      <c r="AW83" s="3">
        <f t="shared" si="28"/>
        <v>0</v>
      </c>
      <c r="AX83" s="3">
        <f t="shared" si="29"/>
        <v>0</v>
      </c>
      <c r="AY83" s="3">
        <f t="shared" si="30"/>
        <v>0</v>
      </c>
      <c r="AZ83" s="3">
        <f t="shared" si="31"/>
        <v>0</v>
      </c>
      <c r="BA83" s="32">
        <f t="shared" si="32"/>
        <v>0</v>
      </c>
      <c r="BB83" s="2" t="str">
        <f t="shared" si="33"/>
        <v/>
      </c>
    </row>
    <row r="84" spans="1:54" ht="14.4">
      <c r="A84" s="13" t="s">
        <v>161</v>
      </c>
      <c r="B84" s="13"/>
      <c r="C84" s="14" t="str">
        <f>IFERROR(VLOOKUP($B84,'Cost Library'!$A$2:$M$159,2,FALSE),"")</f>
        <v/>
      </c>
      <c r="D84" s="14" t="str">
        <f>IFERROR(VLOOKUP($B84,'Cost Library'!$A$2:$M$159,3,FALSE),"")</f>
        <v/>
      </c>
      <c r="E84" s="13"/>
      <c r="F84" s="13"/>
      <c r="G84" s="13" t="str">
        <f>IFERROR(VLOOKUP($B84,'Cost Library'!$A$2:$M$159,5,FALSE),"")</f>
        <v/>
      </c>
      <c r="H84" s="13"/>
      <c r="I84" s="13"/>
      <c r="J84" s="13"/>
      <c r="K84" s="13"/>
      <c r="L84" s="13">
        <v>1</v>
      </c>
      <c r="M84" s="14" t="str">
        <f>IFERROR(VLOOKUP($B84,'Cost Library'!$A$2:$M$159,6,FALSE),"")</f>
        <v/>
      </c>
      <c r="N84" s="15">
        <f>IFERROR(VLOOKUP($B84,'Cost Library'!$A$2:$M$159,7,FALSE),0)</f>
        <v>0</v>
      </c>
      <c r="O84" s="15">
        <f>IFERROR(VLOOKUP($B84,'Cost Library'!$A$2:$M$159,8,FALSE),0)</f>
        <v>0</v>
      </c>
      <c r="P84" s="15">
        <f>IFERROR(VLOOKUP($B84,'Cost Library'!$A$2:$M$159,9,FALSE),0)</f>
        <v>0</v>
      </c>
      <c r="Q84" s="16"/>
      <c r="R84" s="16" t="s">
        <v>116</v>
      </c>
      <c r="S84" s="17">
        <f t="shared" si="17"/>
        <v>0</v>
      </c>
      <c r="T84" s="18">
        <f>'Project Inputs'!$C$15</f>
        <v>0.1</v>
      </c>
      <c r="U84" s="17">
        <f t="shared" si="18"/>
        <v>0</v>
      </c>
      <c r="V84" s="11" t="s">
        <v>247</v>
      </c>
      <c r="W84" s="14" t="str">
        <f>IFERROR(VLOOKUP($B84,'Cost Library'!$A$2:$M$159,10,FALSE),"")</f>
        <v/>
      </c>
      <c r="X84" s="11"/>
      <c r="Y84" s="11"/>
      <c r="Z84" s="11"/>
      <c r="AA84" s="11"/>
      <c r="AB84" s="11"/>
      <c r="AC84" s="11"/>
      <c r="AD84" s="30"/>
      <c r="AE84" s="31"/>
      <c r="AF84" s="3">
        <f t="shared" si="19"/>
        <v>0</v>
      </c>
      <c r="AG84" s="31"/>
      <c r="AH84" s="31"/>
      <c r="AI84" s="3">
        <f t="shared" si="20"/>
        <v>0</v>
      </c>
      <c r="AJ84" s="31"/>
      <c r="AK84" s="31"/>
      <c r="AL84" s="3">
        <f t="shared" si="21"/>
        <v>0</v>
      </c>
      <c r="AM84" s="3">
        <f>IF($A84&lt;&gt;"Yes",0,IF($R84="Detailed Breakdown",$AF84,$S84*IFERROR(VLOOKUP($B84,'Cost Library'!$A$2:$Q$159,14,FALSE),0.4)))</f>
        <v>0</v>
      </c>
      <c r="AN84" s="3">
        <f>IF($A84&lt;&gt;"Yes",0,IF($R84="Detailed Breakdown",$AI84,$S84*IFERROR(VLOOKUP($B84,'Cost Library'!$A$2:$Q$159,15,FALSE),0.5)))</f>
        <v>0</v>
      </c>
      <c r="AO84" s="3">
        <f>IF($A84&lt;&gt;"Yes",0,IF($R84="Detailed Breakdown",$AJ84+$AK84,$S84*IFERROR(VLOOKUP($B84,'Cost Library'!$A$2:$Q$159,16,FALSE),0.1)))</f>
        <v>0</v>
      </c>
      <c r="AP84" s="3">
        <f t="shared" si="22"/>
        <v>0</v>
      </c>
      <c r="AQ84" s="32">
        <f t="shared" si="23"/>
        <v>0</v>
      </c>
      <c r="AR84" s="32">
        <f t="shared" si="24"/>
        <v>0</v>
      </c>
      <c r="AS84" s="32">
        <f t="shared" si="25"/>
        <v>0</v>
      </c>
      <c r="AT84" s="2" t="str">
        <f t="shared" si="26"/>
        <v/>
      </c>
      <c r="AU84" s="31" t="s">
        <v>116</v>
      </c>
      <c r="AV84" s="3">
        <f t="shared" si="27"/>
        <v>0</v>
      </c>
      <c r="AW84" s="3">
        <f t="shared" si="28"/>
        <v>0</v>
      </c>
      <c r="AX84" s="3">
        <f t="shared" si="29"/>
        <v>0</v>
      </c>
      <c r="AY84" s="3">
        <f t="shared" si="30"/>
        <v>0</v>
      </c>
      <c r="AZ84" s="3">
        <f t="shared" si="31"/>
        <v>0</v>
      </c>
      <c r="BA84" s="32">
        <f t="shared" si="32"/>
        <v>0</v>
      </c>
      <c r="BB84" s="2" t="str">
        <f t="shared" si="33"/>
        <v/>
      </c>
    </row>
    <row r="85" spans="1:54" ht="14.4">
      <c r="A85" s="13" t="s">
        <v>161</v>
      </c>
      <c r="B85" s="13"/>
      <c r="C85" s="14" t="str">
        <f>IFERROR(VLOOKUP($B85,'Cost Library'!$A$2:$M$159,2,FALSE),"")</f>
        <v/>
      </c>
      <c r="D85" s="14" t="str">
        <f>IFERROR(VLOOKUP($B85,'Cost Library'!$A$2:$M$159,3,FALSE),"")</f>
        <v/>
      </c>
      <c r="E85" s="13"/>
      <c r="F85" s="13"/>
      <c r="G85" s="13" t="str">
        <f>IFERROR(VLOOKUP($B85,'Cost Library'!$A$2:$M$159,5,FALSE),"")</f>
        <v/>
      </c>
      <c r="H85" s="13"/>
      <c r="I85" s="13"/>
      <c r="J85" s="13"/>
      <c r="K85" s="13"/>
      <c r="L85" s="13">
        <v>1</v>
      </c>
      <c r="M85" s="14" t="str">
        <f>IFERROR(VLOOKUP($B85,'Cost Library'!$A$2:$M$159,6,FALSE),"")</f>
        <v/>
      </c>
      <c r="N85" s="15">
        <f>IFERROR(VLOOKUP($B85,'Cost Library'!$A$2:$M$159,7,FALSE),0)</f>
        <v>0</v>
      </c>
      <c r="O85" s="15">
        <f>IFERROR(VLOOKUP($B85,'Cost Library'!$A$2:$M$159,8,FALSE),0)</f>
        <v>0</v>
      </c>
      <c r="P85" s="15">
        <f>IFERROR(VLOOKUP($B85,'Cost Library'!$A$2:$M$159,9,FALSE),0)</f>
        <v>0</v>
      </c>
      <c r="Q85" s="16"/>
      <c r="R85" s="16" t="s">
        <v>116</v>
      </c>
      <c r="S85" s="17">
        <f t="shared" si="17"/>
        <v>0</v>
      </c>
      <c r="T85" s="18">
        <f>'Project Inputs'!$C$15</f>
        <v>0.1</v>
      </c>
      <c r="U85" s="17">
        <f t="shared" si="18"/>
        <v>0</v>
      </c>
      <c r="V85" s="11" t="s">
        <v>247</v>
      </c>
      <c r="W85" s="14" t="str">
        <f>IFERROR(VLOOKUP($B85,'Cost Library'!$A$2:$M$159,10,FALSE),"")</f>
        <v/>
      </c>
      <c r="X85" s="11"/>
      <c r="Y85" s="11"/>
      <c r="Z85" s="11"/>
      <c r="AA85" s="11"/>
      <c r="AB85" s="11"/>
      <c r="AC85" s="11"/>
      <c r="AD85" s="30"/>
      <c r="AE85" s="31"/>
      <c r="AF85" s="3">
        <f t="shared" si="19"/>
        <v>0</v>
      </c>
      <c r="AG85" s="31"/>
      <c r="AH85" s="31"/>
      <c r="AI85" s="3">
        <f t="shared" si="20"/>
        <v>0</v>
      </c>
      <c r="AJ85" s="31"/>
      <c r="AK85" s="31"/>
      <c r="AL85" s="3">
        <f t="shared" si="21"/>
        <v>0</v>
      </c>
      <c r="AM85" s="3">
        <f>IF($A85&lt;&gt;"Yes",0,IF($R85="Detailed Breakdown",$AF85,$S85*IFERROR(VLOOKUP($B85,'Cost Library'!$A$2:$Q$159,14,FALSE),0.4)))</f>
        <v>0</v>
      </c>
      <c r="AN85" s="3">
        <f>IF($A85&lt;&gt;"Yes",0,IF($R85="Detailed Breakdown",$AI85,$S85*IFERROR(VLOOKUP($B85,'Cost Library'!$A$2:$Q$159,15,FALSE),0.5)))</f>
        <v>0</v>
      </c>
      <c r="AO85" s="3">
        <f>IF($A85&lt;&gt;"Yes",0,IF($R85="Detailed Breakdown",$AJ85+$AK85,$S85*IFERROR(VLOOKUP($B85,'Cost Library'!$A$2:$Q$159,16,FALSE),0.1)))</f>
        <v>0</v>
      </c>
      <c r="AP85" s="3">
        <f t="shared" si="22"/>
        <v>0</v>
      </c>
      <c r="AQ85" s="32">
        <f t="shared" si="23"/>
        <v>0</v>
      </c>
      <c r="AR85" s="32">
        <f t="shared" si="24"/>
        <v>0</v>
      </c>
      <c r="AS85" s="32">
        <f t="shared" si="25"/>
        <v>0</v>
      </c>
      <c r="AT85" s="2" t="str">
        <f t="shared" si="26"/>
        <v/>
      </c>
      <c r="AU85" s="31" t="s">
        <v>116</v>
      </c>
      <c r="AV85" s="3">
        <f t="shared" si="27"/>
        <v>0</v>
      </c>
      <c r="AW85" s="3">
        <f t="shared" si="28"/>
        <v>0</v>
      </c>
      <c r="AX85" s="3">
        <f t="shared" si="29"/>
        <v>0</v>
      </c>
      <c r="AY85" s="3">
        <f t="shared" si="30"/>
        <v>0</v>
      </c>
      <c r="AZ85" s="3">
        <f t="shared" si="31"/>
        <v>0</v>
      </c>
      <c r="BA85" s="32">
        <f t="shared" si="32"/>
        <v>0</v>
      </c>
      <c r="BB85" s="2" t="str">
        <f t="shared" si="33"/>
        <v/>
      </c>
    </row>
    <row r="86" spans="1:54" ht="14.4">
      <c r="A86" s="13" t="s">
        <v>161</v>
      </c>
      <c r="B86" s="13"/>
      <c r="C86" s="14" t="str">
        <f>IFERROR(VLOOKUP($B86,'Cost Library'!$A$2:$M$159,2,FALSE),"")</f>
        <v/>
      </c>
      <c r="D86" s="14" t="str">
        <f>IFERROR(VLOOKUP($B86,'Cost Library'!$A$2:$M$159,3,FALSE),"")</f>
        <v/>
      </c>
      <c r="E86" s="13"/>
      <c r="F86" s="13"/>
      <c r="G86" s="13" t="str">
        <f>IFERROR(VLOOKUP($B86,'Cost Library'!$A$2:$M$159,5,FALSE),"")</f>
        <v/>
      </c>
      <c r="H86" s="13"/>
      <c r="I86" s="13"/>
      <c r="J86" s="13"/>
      <c r="K86" s="13"/>
      <c r="L86" s="13">
        <v>1</v>
      </c>
      <c r="M86" s="14" t="str">
        <f>IFERROR(VLOOKUP($B86,'Cost Library'!$A$2:$M$159,6,FALSE),"")</f>
        <v/>
      </c>
      <c r="N86" s="15">
        <f>IFERROR(VLOOKUP($B86,'Cost Library'!$A$2:$M$159,7,FALSE),0)</f>
        <v>0</v>
      </c>
      <c r="O86" s="15">
        <f>IFERROR(VLOOKUP($B86,'Cost Library'!$A$2:$M$159,8,FALSE),0)</f>
        <v>0</v>
      </c>
      <c r="P86" s="15">
        <f>IFERROR(VLOOKUP($B86,'Cost Library'!$A$2:$M$159,9,FALSE),0)</f>
        <v>0</v>
      </c>
      <c r="Q86" s="16"/>
      <c r="R86" s="16" t="s">
        <v>116</v>
      </c>
      <c r="S86" s="17">
        <f t="shared" si="17"/>
        <v>0</v>
      </c>
      <c r="T86" s="18">
        <f>'Project Inputs'!$C$15</f>
        <v>0.1</v>
      </c>
      <c r="U86" s="17">
        <f t="shared" si="18"/>
        <v>0</v>
      </c>
      <c r="V86" s="11" t="s">
        <v>247</v>
      </c>
      <c r="W86" s="14" t="str">
        <f>IFERROR(VLOOKUP($B86,'Cost Library'!$A$2:$M$159,10,FALSE),"")</f>
        <v/>
      </c>
      <c r="X86" s="11"/>
      <c r="Y86" s="11"/>
      <c r="Z86" s="11"/>
      <c r="AA86" s="11"/>
      <c r="AB86" s="11"/>
      <c r="AC86" s="11"/>
      <c r="AD86" s="30"/>
      <c r="AE86" s="31"/>
      <c r="AF86" s="3">
        <f t="shared" si="19"/>
        <v>0</v>
      </c>
      <c r="AG86" s="31"/>
      <c r="AH86" s="31"/>
      <c r="AI86" s="3">
        <f t="shared" si="20"/>
        <v>0</v>
      </c>
      <c r="AJ86" s="31"/>
      <c r="AK86" s="31"/>
      <c r="AL86" s="3">
        <f t="shared" si="21"/>
        <v>0</v>
      </c>
      <c r="AM86" s="3">
        <f>IF($A86&lt;&gt;"Yes",0,IF($R86="Detailed Breakdown",$AF86,$S86*IFERROR(VLOOKUP($B86,'Cost Library'!$A$2:$Q$159,14,FALSE),0.4)))</f>
        <v>0</v>
      </c>
      <c r="AN86" s="3">
        <f>IF($A86&lt;&gt;"Yes",0,IF($R86="Detailed Breakdown",$AI86,$S86*IFERROR(VLOOKUP($B86,'Cost Library'!$A$2:$Q$159,15,FALSE),0.5)))</f>
        <v>0</v>
      </c>
      <c r="AO86" s="3">
        <f>IF($A86&lt;&gt;"Yes",0,IF($R86="Detailed Breakdown",$AJ86+$AK86,$S86*IFERROR(VLOOKUP($B86,'Cost Library'!$A$2:$Q$159,16,FALSE),0.1)))</f>
        <v>0</v>
      </c>
      <c r="AP86" s="3">
        <f t="shared" si="22"/>
        <v>0</v>
      </c>
      <c r="AQ86" s="32">
        <f t="shared" si="23"/>
        <v>0</v>
      </c>
      <c r="AR86" s="32">
        <f t="shared" si="24"/>
        <v>0</v>
      </c>
      <c r="AS86" s="32">
        <f t="shared" si="25"/>
        <v>0</v>
      </c>
      <c r="AT86" s="2" t="str">
        <f t="shared" si="26"/>
        <v/>
      </c>
      <c r="AU86" s="31" t="s">
        <v>116</v>
      </c>
      <c r="AV86" s="3">
        <f t="shared" si="27"/>
        <v>0</v>
      </c>
      <c r="AW86" s="3">
        <f t="shared" si="28"/>
        <v>0</v>
      </c>
      <c r="AX86" s="3">
        <f t="shared" si="29"/>
        <v>0</v>
      </c>
      <c r="AY86" s="3">
        <f t="shared" si="30"/>
        <v>0</v>
      </c>
      <c r="AZ86" s="3">
        <f t="shared" si="31"/>
        <v>0</v>
      </c>
      <c r="BA86" s="32">
        <f t="shared" si="32"/>
        <v>0</v>
      </c>
      <c r="BB86" s="2" t="str">
        <f t="shared" si="33"/>
        <v/>
      </c>
    </row>
    <row r="87" spans="1:54" ht="14.4">
      <c r="A87" s="13" t="s">
        <v>161</v>
      </c>
      <c r="B87" s="13"/>
      <c r="C87" s="14" t="str">
        <f>IFERROR(VLOOKUP($B87,'Cost Library'!$A$2:$M$159,2,FALSE),"")</f>
        <v/>
      </c>
      <c r="D87" s="14" t="str">
        <f>IFERROR(VLOOKUP($B87,'Cost Library'!$A$2:$M$159,3,FALSE),"")</f>
        <v/>
      </c>
      <c r="E87" s="13"/>
      <c r="F87" s="13"/>
      <c r="G87" s="13" t="str">
        <f>IFERROR(VLOOKUP($B87,'Cost Library'!$A$2:$M$159,5,FALSE),"")</f>
        <v/>
      </c>
      <c r="H87" s="13"/>
      <c r="I87" s="13"/>
      <c r="J87" s="13"/>
      <c r="K87" s="13"/>
      <c r="L87" s="13">
        <v>1</v>
      </c>
      <c r="M87" s="14" t="str">
        <f>IFERROR(VLOOKUP($B87,'Cost Library'!$A$2:$M$159,6,FALSE),"")</f>
        <v/>
      </c>
      <c r="N87" s="15">
        <f>IFERROR(VLOOKUP($B87,'Cost Library'!$A$2:$M$159,7,FALSE),0)</f>
        <v>0</v>
      </c>
      <c r="O87" s="15">
        <f>IFERROR(VLOOKUP($B87,'Cost Library'!$A$2:$M$159,8,FALSE),0)</f>
        <v>0</v>
      </c>
      <c r="P87" s="15">
        <f>IFERROR(VLOOKUP($B87,'Cost Library'!$A$2:$M$159,9,FALSE),0)</f>
        <v>0</v>
      </c>
      <c r="Q87" s="16"/>
      <c r="R87" s="16" t="s">
        <v>116</v>
      </c>
      <c r="S87" s="17">
        <f t="shared" si="17"/>
        <v>0</v>
      </c>
      <c r="T87" s="18">
        <f>'Project Inputs'!$C$15</f>
        <v>0.1</v>
      </c>
      <c r="U87" s="17">
        <f t="shared" si="18"/>
        <v>0</v>
      </c>
      <c r="V87" s="11" t="s">
        <v>247</v>
      </c>
      <c r="W87" s="14" t="str">
        <f>IFERROR(VLOOKUP($B87,'Cost Library'!$A$2:$M$159,10,FALSE),"")</f>
        <v/>
      </c>
      <c r="X87" s="11"/>
      <c r="Y87" s="11"/>
      <c r="Z87" s="11"/>
      <c r="AA87" s="11"/>
      <c r="AB87" s="11"/>
      <c r="AC87" s="11"/>
      <c r="AD87" s="30"/>
      <c r="AE87" s="31"/>
      <c r="AF87" s="3">
        <f t="shared" si="19"/>
        <v>0</v>
      </c>
      <c r="AG87" s="31"/>
      <c r="AH87" s="31"/>
      <c r="AI87" s="3">
        <f t="shared" si="20"/>
        <v>0</v>
      </c>
      <c r="AJ87" s="31"/>
      <c r="AK87" s="31"/>
      <c r="AL87" s="3">
        <f t="shared" si="21"/>
        <v>0</v>
      </c>
      <c r="AM87" s="3">
        <f>IF($A87&lt;&gt;"Yes",0,IF($R87="Detailed Breakdown",$AF87,$S87*IFERROR(VLOOKUP($B87,'Cost Library'!$A$2:$Q$159,14,FALSE),0.4)))</f>
        <v>0</v>
      </c>
      <c r="AN87" s="3">
        <f>IF($A87&lt;&gt;"Yes",0,IF($R87="Detailed Breakdown",$AI87,$S87*IFERROR(VLOOKUP($B87,'Cost Library'!$A$2:$Q$159,15,FALSE),0.5)))</f>
        <v>0</v>
      </c>
      <c r="AO87" s="3">
        <f>IF($A87&lt;&gt;"Yes",0,IF($R87="Detailed Breakdown",$AJ87+$AK87,$S87*IFERROR(VLOOKUP($B87,'Cost Library'!$A$2:$Q$159,16,FALSE),0.1)))</f>
        <v>0</v>
      </c>
      <c r="AP87" s="3">
        <f t="shared" si="22"/>
        <v>0</v>
      </c>
      <c r="AQ87" s="32">
        <f t="shared" si="23"/>
        <v>0</v>
      </c>
      <c r="AR87" s="32">
        <f t="shared" si="24"/>
        <v>0</v>
      </c>
      <c r="AS87" s="32">
        <f t="shared" si="25"/>
        <v>0</v>
      </c>
      <c r="AT87" s="2" t="str">
        <f t="shared" si="26"/>
        <v/>
      </c>
      <c r="AU87" s="31" t="s">
        <v>116</v>
      </c>
      <c r="AV87" s="3">
        <f t="shared" si="27"/>
        <v>0</v>
      </c>
      <c r="AW87" s="3">
        <f t="shared" si="28"/>
        <v>0</v>
      </c>
      <c r="AX87" s="3">
        <f t="shared" si="29"/>
        <v>0</v>
      </c>
      <c r="AY87" s="3">
        <f t="shared" si="30"/>
        <v>0</v>
      </c>
      <c r="AZ87" s="3">
        <f t="shared" si="31"/>
        <v>0</v>
      </c>
      <c r="BA87" s="32">
        <f t="shared" si="32"/>
        <v>0</v>
      </c>
      <c r="BB87" s="2" t="str">
        <f t="shared" si="33"/>
        <v/>
      </c>
    </row>
    <row r="88" spans="1:54" ht="14.4">
      <c r="A88" s="13" t="s">
        <v>161</v>
      </c>
      <c r="B88" s="13"/>
      <c r="C88" s="14" t="str">
        <f>IFERROR(VLOOKUP($B88,'Cost Library'!$A$2:$M$159,2,FALSE),"")</f>
        <v/>
      </c>
      <c r="D88" s="14" t="str">
        <f>IFERROR(VLOOKUP($B88,'Cost Library'!$A$2:$M$159,3,FALSE),"")</f>
        <v/>
      </c>
      <c r="E88" s="13"/>
      <c r="F88" s="13"/>
      <c r="G88" s="13" t="str">
        <f>IFERROR(VLOOKUP($B88,'Cost Library'!$A$2:$M$159,5,FALSE),"")</f>
        <v/>
      </c>
      <c r="H88" s="13"/>
      <c r="I88" s="13"/>
      <c r="J88" s="13"/>
      <c r="K88" s="13"/>
      <c r="L88" s="13">
        <v>1</v>
      </c>
      <c r="M88" s="14" t="str">
        <f>IFERROR(VLOOKUP($B88,'Cost Library'!$A$2:$M$159,6,FALSE),"")</f>
        <v/>
      </c>
      <c r="N88" s="15">
        <f>IFERROR(VLOOKUP($B88,'Cost Library'!$A$2:$M$159,7,FALSE),0)</f>
        <v>0</v>
      </c>
      <c r="O88" s="15">
        <f>IFERROR(VLOOKUP($B88,'Cost Library'!$A$2:$M$159,8,FALSE),0)</f>
        <v>0</v>
      </c>
      <c r="P88" s="15">
        <f>IFERROR(VLOOKUP($B88,'Cost Library'!$A$2:$M$159,9,FALSE),0)</f>
        <v>0</v>
      </c>
      <c r="Q88" s="16"/>
      <c r="R88" s="16" t="s">
        <v>116</v>
      </c>
      <c r="S88" s="17">
        <f t="shared" si="17"/>
        <v>0</v>
      </c>
      <c r="T88" s="18">
        <f>'Project Inputs'!$C$15</f>
        <v>0.1</v>
      </c>
      <c r="U88" s="17">
        <f t="shared" si="18"/>
        <v>0</v>
      </c>
      <c r="V88" s="11" t="s">
        <v>247</v>
      </c>
      <c r="W88" s="14" t="str">
        <f>IFERROR(VLOOKUP($B88,'Cost Library'!$A$2:$M$159,10,FALSE),"")</f>
        <v/>
      </c>
      <c r="X88" s="11"/>
      <c r="Y88" s="11"/>
      <c r="Z88" s="11"/>
      <c r="AA88" s="11"/>
      <c r="AB88" s="11"/>
      <c r="AC88" s="11"/>
      <c r="AD88" s="30"/>
      <c r="AE88" s="31"/>
      <c r="AF88" s="3">
        <f t="shared" si="19"/>
        <v>0</v>
      </c>
      <c r="AG88" s="31"/>
      <c r="AH88" s="31"/>
      <c r="AI88" s="3">
        <f t="shared" si="20"/>
        <v>0</v>
      </c>
      <c r="AJ88" s="31"/>
      <c r="AK88" s="31"/>
      <c r="AL88" s="3">
        <f t="shared" si="21"/>
        <v>0</v>
      </c>
      <c r="AM88" s="3">
        <f>IF($A88&lt;&gt;"Yes",0,IF($R88="Detailed Breakdown",$AF88,$S88*IFERROR(VLOOKUP($B88,'Cost Library'!$A$2:$Q$159,14,FALSE),0.4)))</f>
        <v>0</v>
      </c>
      <c r="AN88" s="3">
        <f>IF($A88&lt;&gt;"Yes",0,IF($R88="Detailed Breakdown",$AI88,$S88*IFERROR(VLOOKUP($B88,'Cost Library'!$A$2:$Q$159,15,FALSE),0.5)))</f>
        <v>0</v>
      </c>
      <c r="AO88" s="3">
        <f>IF($A88&lt;&gt;"Yes",0,IF($R88="Detailed Breakdown",$AJ88+$AK88,$S88*IFERROR(VLOOKUP($B88,'Cost Library'!$A$2:$Q$159,16,FALSE),0.1)))</f>
        <v>0</v>
      </c>
      <c r="AP88" s="3">
        <f t="shared" si="22"/>
        <v>0</v>
      </c>
      <c r="AQ88" s="32">
        <f t="shared" si="23"/>
        <v>0</v>
      </c>
      <c r="AR88" s="32">
        <f t="shared" si="24"/>
        <v>0</v>
      </c>
      <c r="AS88" s="32">
        <f t="shared" si="25"/>
        <v>0</v>
      </c>
      <c r="AT88" s="2" t="str">
        <f t="shared" si="26"/>
        <v/>
      </c>
      <c r="AU88" s="31" t="s">
        <v>116</v>
      </c>
      <c r="AV88" s="3">
        <f t="shared" si="27"/>
        <v>0</v>
      </c>
      <c r="AW88" s="3">
        <f t="shared" si="28"/>
        <v>0</v>
      </c>
      <c r="AX88" s="3">
        <f t="shared" si="29"/>
        <v>0</v>
      </c>
      <c r="AY88" s="3">
        <f t="shared" si="30"/>
        <v>0</v>
      </c>
      <c r="AZ88" s="3">
        <f t="shared" si="31"/>
        <v>0</v>
      </c>
      <c r="BA88" s="32">
        <f t="shared" si="32"/>
        <v>0</v>
      </c>
      <c r="BB88" s="2" t="str">
        <f t="shared" si="33"/>
        <v/>
      </c>
    </row>
    <row r="89" spans="1:54" ht="14.4">
      <c r="A89" s="13" t="s">
        <v>161</v>
      </c>
      <c r="B89" s="13"/>
      <c r="C89" s="14" t="str">
        <f>IFERROR(VLOOKUP($B89,'Cost Library'!$A$2:$M$159,2,FALSE),"")</f>
        <v/>
      </c>
      <c r="D89" s="14" t="str">
        <f>IFERROR(VLOOKUP($B89,'Cost Library'!$A$2:$M$159,3,FALSE),"")</f>
        <v/>
      </c>
      <c r="E89" s="13"/>
      <c r="F89" s="13"/>
      <c r="G89" s="13" t="str">
        <f>IFERROR(VLOOKUP($B89,'Cost Library'!$A$2:$M$159,5,FALSE),"")</f>
        <v/>
      </c>
      <c r="H89" s="13"/>
      <c r="I89" s="13"/>
      <c r="J89" s="13"/>
      <c r="K89" s="13"/>
      <c r="L89" s="13">
        <v>1</v>
      </c>
      <c r="M89" s="14" t="str">
        <f>IFERROR(VLOOKUP($B89,'Cost Library'!$A$2:$M$159,6,FALSE),"")</f>
        <v/>
      </c>
      <c r="N89" s="15">
        <f>IFERROR(VLOOKUP($B89,'Cost Library'!$A$2:$M$159,7,FALSE),0)</f>
        <v>0</v>
      </c>
      <c r="O89" s="15">
        <f>IFERROR(VLOOKUP($B89,'Cost Library'!$A$2:$M$159,8,FALSE),0)</f>
        <v>0</v>
      </c>
      <c r="P89" s="15">
        <f>IFERROR(VLOOKUP($B89,'Cost Library'!$A$2:$M$159,9,FALSE),0)</f>
        <v>0</v>
      </c>
      <c r="Q89" s="16"/>
      <c r="R89" s="16" t="s">
        <v>116</v>
      </c>
      <c r="S89" s="17">
        <f t="shared" si="17"/>
        <v>0</v>
      </c>
      <c r="T89" s="18">
        <f>'Project Inputs'!$C$15</f>
        <v>0.1</v>
      </c>
      <c r="U89" s="17">
        <f t="shared" si="18"/>
        <v>0</v>
      </c>
      <c r="V89" s="11" t="s">
        <v>247</v>
      </c>
      <c r="W89" s="14" t="str">
        <f>IFERROR(VLOOKUP($B89,'Cost Library'!$A$2:$M$159,10,FALSE),"")</f>
        <v/>
      </c>
      <c r="X89" s="11"/>
      <c r="Y89" s="11"/>
      <c r="Z89" s="11"/>
      <c r="AA89" s="11"/>
      <c r="AB89" s="11"/>
      <c r="AC89" s="11"/>
      <c r="AD89" s="30"/>
      <c r="AE89" s="31"/>
      <c r="AF89" s="3">
        <f t="shared" si="19"/>
        <v>0</v>
      </c>
      <c r="AG89" s="31"/>
      <c r="AH89" s="31"/>
      <c r="AI89" s="3">
        <f t="shared" si="20"/>
        <v>0</v>
      </c>
      <c r="AJ89" s="31"/>
      <c r="AK89" s="31"/>
      <c r="AL89" s="3">
        <f t="shared" si="21"/>
        <v>0</v>
      </c>
      <c r="AM89" s="3">
        <f>IF($A89&lt;&gt;"Yes",0,IF($R89="Detailed Breakdown",$AF89,$S89*IFERROR(VLOOKUP($B89,'Cost Library'!$A$2:$Q$159,14,FALSE),0.4)))</f>
        <v>0</v>
      </c>
      <c r="AN89" s="3">
        <f>IF($A89&lt;&gt;"Yes",0,IF($R89="Detailed Breakdown",$AI89,$S89*IFERROR(VLOOKUP($B89,'Cost Library'!$A$2:$Q$159,15,FALSE),0.5)))</f>
        <v>0</v>
      </c>
      <c r="AO89" s="3">
        <f>IF($A89&lt;&gt;"Yes",0,IF($R89="Detailed Breakdown",$AJ89+$AK89,$S89*IFERROR(VLOOKUP($B89,'Cost Library'!$A$2:$Q$159,16,FALSE),0.1)))</f>
        <v>0</v>
      </c>
      <c r="AP89" s="3">
        <f t="shared" si="22"/>
        <v>0</v>
      </c>
      <c r="AQ89" s="32">
        <f t="shared" si="23"/>
        <v>0</v>
      </c>
      <c r="AR89" s="32">
        <f t="shared" si="24"/>
        <v>0</v>
      </c>
      <c r="AS89" s="32">
        <f t="shared" si="25"/>
        <v>0</v>
      </c>
      <c r="AT89" s="2" t="str">
        <f t="shared" si="26"/>
        <v/>
      </c>
      <c r="AU89" s="31" t="s">
        <v>116</v>
      </c>
      <c r="AV89" s="3">
        <f t="shared" si="27"/>
        <v>0</v>
      </c>
      <c r="AW89" s="3">
        <f t="shared" si="28"/>
        <v>0</v>
      </c>
      <c r="AX89" s="3">
        <f t="shared" si="29"/>
        <v>0</v>
      </c>
      <c r="AY89" s="3">
        <f t="shared" si="30"/>
        <v>0</v>
      </c>
      <c r="AZ89" s="3">
        <f t="shared" si="31"/>
        <v>0</v>
      </c>
      <c r="BA89" s="32">
        <f t="shared" si="32"/>
        <v>0</v>
      </c>
      <c r="BB89" s="2" t="str">
        <f t="shared" si="33"/>
        <v/>
      </c>
    </row>
    <row r="90" spans="1:54" ht="14.4">
      <c r="A90" s="13" t="s">
        <v>161</v>
      </c>
      <c r="B90" s="13"/>
      <c r="C90" s="14" t="str">
        <f>IFERROR(VLOOKUP($B90,'Cost Library'!$A$2:$M$159,2,FALSE),"")</f>
        <v/>
      </c>
      <c r="D90" s="14" t="str">
        <f>IFERROR(VLOOKUP($B90,'Cost Library'!$A$2:$M$159,3,FALSE),"")</f>
        <v/>
      </c>
      <c r="E90" s="13"/>
      <c r="F90" s="13"/>
      <c r="G90" s="13" t="str">
        <f>IFERROR(VLOOKUP($B90,'Cost Library'!$A$2:$M$159,5,FALSE),"")</f>
        <v/>
      </c>
      <c r="H90" s="13"/>
      <c r="I90" s="13"/>
      <c r="J90" s="13"/>
      <c r="K90" s="13"/>
      <c r="L90" s="13">
        <v>1</v>
      </c>
      <c r="M90" s="14" t="str">
        <f>IFERROR(VLOOKUP($B90,'Cost Library'!$A$2:$M$159,6,FALSE),"")</f>
        <v/>
      </c>
      <c r="N90" s="15">
        <f>IFERROR(VLOOKUP($B90,'Cost Library'!$A$2:$M$159,7,FALSE),0)</f>
        <v>0</v>
      </c>
      <c r="O90" s="15">
        <f>IFERROR(VLOOKUP($B90,'Cost Library'!$A$2:$M$159,8,FALSE),0)</f>
        <v>0</v>
      </c>
      <c r="P90" s="15">
        <f>IFERROR(VLOOKUP($B90,'Cost Library'!$A$2:$M$159,9,FALSE),0)</f>
        <v>0</v>
      </c>
      <c r="Q90" s="16"/>
      <c r="R90" s="16" t="s">
        <v>116</v>
      </c>
      <c r="S90" s="17">
        <f t="shared" si="17"/>
        <v>0</v>
      </c>
      <c r="T90" s="18">
        <f>'Project Inputs'!$C$15</f>
        <v>0.1</v>
      </c>
      <c r="U90" s="17">
        <f t="shared" si="18"/>
        <v>0</v>
      </c>
      <c r="V90" s="11" t="s">
        <v>247</v>
      </c>
      <c r="W90" s="14" t="str">
        <f>IFERROR(VLOOKUP($B90,'Cost Library'!$A$2:$M$159,10,FALSE),"")</f>
        <v/>
      </c>
      <c r="X90" s="11"/>
      <c r="Y90" s="11"/>
      <c r="Z90" s="11"/>
      <c r="AA90" s="11"/>
      <c r="AB90" s="11"/>
      <c r="AC90" s="11"/>
      <c r="AD90" s="30"/>
      <c r="AE90" s="31"/>
      <c r="AF90" s="3">
        <f t="shared" si="19"/>
        <v>0</v>
      </c>
      <c r="AG90" s="31"/>
      <c r="AH90" s="31"/>
      <c r="AI90" s="3">
        <f t="shared" si="20"/>
        <v>0</v>
      </c>
      <c r="AJ90" s="31"/>
      <c r="AK90" s="31"/>
      <c r="AL90" s="3">
        <f t="shared" si="21"/>
        <v>0</v>
      </c>
      <c r="AM90" s="3">
        <f>IF($A90&lt;&gt;"Yes",0,IF($R90="Detailed Breakdown",$AF90,$S90*IFERROR(VLOOKUP($B90,'Cost Library'!$A$2:$Q$159,14,FALSE),0.4)))</f>
        <v>0</v>
      </c>
      <c r="AN90" s="3">
        <f>IF($A90&lt;&gt;"Yes",0,IF($R90="Detailed Breakdown",$AI90,$S90*IFERROR(VLOOKUP($B90,'Cost Library'!$A$2:$Q$159,15,FALSE),0.5)))</f>
        <v>0</v>
      </c>
      <c r="AO90" s="3">
        <f>IF($A90&lt;&gt;"Yes",0,IF($R90="Detailed Breakdown",$AJ90+$AK90,$S90*IFERROR(VLOOKUP($B90,'Cost Library'!$A$2:$Q$159,16,FALSE),0.1)))</f>
        <v>0</v>
      </c>
      <c r="AP90" s="3">
        <f t="shared" si="22"/>
        <v>0</v>
      </c>
      <c r="AQ90" s="32">
        <f t="shared" si="23"/>
        <v>0</v>
      </c>
      <c r="AR90" s="32">
        <f t="shared" si="24"/>
        <v>0</v>
      </c>
      <c r="AS90" s="32">
        <f t="shared" si="25"/>
        <v>0</v>
      </c>
      <c r="AT90" s="2" t="str">
        <f t="shared" si="26"/>
        <v/>
      </c>
      <c r="AU90" s="31" t="s">
        <v>116</v>
      </c>
      <c r="AV90" s="3">
        <f t="shared" si="27"/>
        <v>0</v>
      </c>
      <c r="AW90" s="3">
        <f t="shared" si="28"/>
        <v>0</v>
      </c>
      <c r="AX90" s="3">
        <f t="shared" si="29"/>
        <v>0</v>
      </c>
      <c r="AY90" s="3">
        <f t="shared" si="30"/>
        <v>0</v>
      </c>
      <c r="AZ90" s="3">
        <f t="shared" si="31"/>
        <v>0</v>
      </c>
      <c r="BA90" s="32">
        <f t="shared" si="32"/>
        <v>0</v>
      </c>
      <c r="BB90" s="2" t="str">
        <f t="shared" si="33"/>
        <v/>
      </c>
    </row>
    <row r="91" spans="1:54" ht="14.4">
      <c r="A91" s="13" t="s">
        <v>161</v>
      </c>
      <c r="B91" s="13"/>
      <c r="C91" s="14" t="str">
        <f>IFERROR(VLOOKUP($B91,'Cost Library'!$A$2:$M$159,2,FALSE),"")</f>
        <v/>
      </c>
      <c r="D91" s="14" t="str">
        <f>IFERROR(VLOOKUP($B91,'Cost Library'!$A$2:$M$159,3,FALSE),"")</f>
        <v/>
      </c>
      <c r="E91" s="13"/>
      <c r="F91" s="13"/>
      <c r="G91" s="13" t="str">
        <f>IFERROR(VLOOKUP($B91,'Cost Library'!$A$2:$M$159,5,FALSE),"")</f>
        <v/>
      </c>
      <c r="H91" s="13"/>
      <c r="I91" s="13"/>
      <c r="J91" s="13"/>
      <c r="K91" s="13"/>
      <c r="L91" s="13">
        <v>1</v>
      </c>
      <c r="M91" s="14" t="str">
        <f>IFERROR(VLOOKUP($B91,'Cost Library'!$A$2:$M$159,6,FALSE),"")</f>
        <v/>
      </c>
      <c r="N91" s="15">
        <f>IFERROR(VLOOKUP($B91,'Cost Library'!$A$2:$M$159,7,FALSE),0)</f>
        <v>0</v>
      </c>
      <c r="O91" s="15">
        <f>IFERROR(VLOOKUP($B91,'Cost Library'!$A$2:$M$159,8,FALSE),0)</f>
        <v>0</v>
      </c>
      <c r="P91" s="15">
        <f>IFERROR(VLOOKUP($B91,'Cost Library'!$A$2:$M$159,9,FALSE),0)</f>
        <v>0</v>
      </c>
      <c r="Q91" s="16"/>
      <c r="R91" s="16" t="s">
        <v>116</v>
      </c>
      <c r="S91" s="17">
        <f t="shared" si="17"/>
        <v>0</v>
      </c>
      <c r="T91" s="18">
        <f>'Project Inputs'!$C$15</f>
        <v>0.1</v>
      </c>
      <c r="U91" s="17">
        <f t="shared" si="18"/>
        <v>0</v>
      </c>
      <c r="V91" s="11" t="s">
        <v>247</v>
      </c>
      <c r="W91" s="14" t="str">
        <f>IFERROR(VLOOKUP($B91,'Cost Library'!$A$2:$M$159,10,FALSE),"")</f>
        <v/>
      </c>
      <c r="X91" s="11"/>
      <c r="Y91" s="11"/>
      <c r="Z91" s="11"/>
      <c r="AA91" s="11"/>
      <c r="AB91" s="11"/>
      <c r="AC91" s="11"/>
      <c r="AD91" s="30"/>
      <c r="AE91" s="31"/>
      <c r="AF91" s="3">
        <f t="shared" si="19"/>
        <v>0</v>
      </c>
      <c r="AG91" s="31"/>
      <c r="AH91" s="31"/>
      <c r="AI91" s="3">
        <f t="shared" si="20"/>
        <v>0</v>
      </c>
      <c r="AJ91" s="31"/>
      <c r="AK91" s="31"/>
      <c r="AL91" s="3">
        <f t="shared" si="21"/>
        <v>0</v>
      </c>
      <c r="AM91" s="3">
        <f>IF($A91&lt;&gt;"Yes",0,IF($R91="Detailed Breakdown",$AF91,$S91*IFERROR(VLOOKUP($B91,'Cost Library'!$A$2:$Q$159,14,FALSE),0.4)))</f>
        <v>0</v>
      </c>
      <c r="AN91" s="3">
        <f>IF($A91&lt;&gt;"Yes",0,IF($R91="Detailed Breakdown",$AI91,$S91*IFERROR(VLOOKUP($B91,'Cost Library'!$A$2:$Q$159,15,FALSE),0.5)))</f>
        <v>0</v>
      </c>
      <c r="AO91" s="3">
        <f>IF($A91&lt;&gt;"Yes",0,IF($R91="Detailed Breakdown",$AJ91+$AK91,$S91*IFERROR(VLOOKUP($B91,'Cost Library'!$A$2:$Q$159,16,FALSE),0.1)))</f>
        <v>0</v>
      </c>
      <c r="AP91" s="3">
        <f t="shared" si="22"/>
        <v>0</v>
      </c>
      <c r="AQ91" s="32">
        <f t="shared" si="23"/>
        <v>0</v>
      </c>
      <c r="AR91" s="32">
        <f t="shared" si="24"/>
        <v>0</v>
      </c>
      <c r="AS91" s="32">
        <f t="shared" si="25"/>
        <v>0</v>
      </c>
      <c r="AT91" s="2" t="str">
        <f t="shared" si="26"/>
        <v/>
      </c>
      <c r="AU91" s="31" t="s">
        <v>116</v>
      </c>
      <c r="AV91" s="3">
        <f t="shared" si="27"/>
        <v>0</v>
      </c>
      <c r="AW91" s="3">
        <f t="shared" si="28"/>
        <v>0</v>
      </c>
      <c r="AX91" s="3">
        <f t="shared" si="29"/>
        <v>0</v>
      </c>
      <c r="AY91" s="3">
        <f t="shared" si="30"/>
        <v>0</v>
      </c>
      <c r="AZ91" s="3">
        <f t="shared" si="31"/>
        <v>0</v>
      </c>
      <c r="BA91" s="32">
        <f t="shared" si="32"/>
        <v>0</v>
      </c>
      <c r="BB91" s="2" t="str">
        <f t="shared" si="33"/>
        <v/>
      </c>
    </row>
    <row r="92" spans="1:54" ht="14.4">
      <c r="A92" s="13" t="s">
        <v>161</v>
      </c>
      <c r="B92" s="13"/>
      <c r="C92" s="14" t="str">
        <f>IFERROR(VLOOKUP($B92,'Cost Library'!$A$2:$M$159,2,FALSE),"")</f>
        <v/>
      </c>
      <c r="D92" s="14" t="str">
        <f>IFERROR(VLOOKUP($B92,'Cost Library'!$A$2:$M$159,3,FALSE),"")</f>
        <v/>
      </c>
      <c r="E92" s="13"/>
      <c r="F92" s="13"/>
      <c r="G92" s="13" t="str">
        <f>IFERROR(VLOOKUP($B92,'Cost Library'!$A$2:$M$159,5,FALSE),"")</f>
        <v/>
      </c>
      <c r="H92" s="13"/>
      <c r="I92" s="13"/>
      <c r="J92" s="13"/>
      <c r="K92" s="13"/>
      <c r="L92" s="13">
        <v>1</v>
      </c>
      <c r="M92" s="14" t="str">
        <f>IFERROR(VLOOKUP($B92,'Cost Library'!$A$2:$M$159,6,FALSE),"")</f>
        <v/>
      </c>
      <c r="N92" s="15">
        <f>IFERROR(VLOOKUP($B92,'Cost Library'!$A$2:$M$159,7,FALSE),0)</f>
        <v>0</v>
      </c>
      <c r="O92" s="15">
        <f>IFERROR(VLOOKUP($B92,'Cost Library'!$A$2:$M$159,8,FALSE),0)</f>
        <v>0</v>
      </c>
      <c r="P92" s="15">
        <f>IFERROR(VLOOKUP($B92,'Cost Library'!$A$2:$M$159,9,FALSE),0)</f>
        <v>0</v>
      </c>
      <c r="Q92" s="16"/>
      <c r="R92" s="16" t="s">
        <v>116</v>
      </c>
      <c r="S92" s="17">
        <f t="shared" si="17"/>
        <v>0</v>
      </c>
      <c r="T92" s="18">
        <f>'Project Inputs'!$C$15</f>
        <v>0.1</v>
      </c>
      <c r="U92" s="17">
        <f t="shared" si="18"/>
        <v>0</v>
      </c>
      <c r="V92" s="11" t="s">
        <v>247</v>
      </c>
      <c r="W92" s="14" t="str">
        <f>IFERROR(VLOOKUP($B92,'Cost Library'!$A$2:$M$159,10,FALSE),"")</f>
        <v/>
      </c>
      <c r="X92" s="11"/>
      <c r="Y92" s="11"/>
      <c r="Z92" s="11"/>
      <c r="AA92" s="11"/>
      <c r="AB92" s="11"/>
      <c r="AC92" s="11"/>
      <c r="AD92" s="30"/>
      <c r="AE92" s="31"/>
      <c r="AF92" s="3">
        <f t="shared" si="19"/>
        <v>0</v>
      </c>
      <c r="AG92" s="31"/>
      <c r="AH92" s="31"/>
      <c r="AI92" s="3">
        <f t="shared" si="20"/>
        <v>0</v>
      </c>
      <c r="AJ92" s="31"/>
      <c r="AK92" s="31"/>
      <c r="AL92" s="3">
        <f t="shared" si="21"/>
        <v>0</v>
      </c>
      <c r="AM92" s="3">
        <f>IF($A92&lt;&gt;"Yes",0,IF($R92="Detailed Breakdown",$AF92,$S92*IFERROR(VLOOKUP($B92,'Cost Library'!$A$2:$Q$159,14,FALSE),0.4)))</f>
        <v>0</v>
      </c>
      <c r="AN92" s="3">
        <f>IF($A92&lt;&gt;"Yes",0,IF($R92="Detailed Breakdown",$AI92,$S92*IFERROR(VLOOKUP($B92,'Cost Library'!$A$2:$Q$159,15,FALSE),0.5)))</f>
        <v>0</v>
      </c>
      <c r="AO92" s="3">
        <f>IF($A92&lt;&gt;"Yes",0,IF($R92="Detailed Breakdown",$AJ92+$AK92,$S92*IFERROR(VLOOKUP($B92,'Cost Library'!$A$2:$Q$159,16,FALSE),0.1)))</f>
        <v>0</v>
      </c>
      <c r="AP92" s="3">
        <f t="shared" si="22"/>
        <v>0</v>
      </c>
      <c r="AQ92" s="32">
        <f t="shared" si="23"/>
        <v>0</v>
      </c>
      <c r="AR92" s="32">
        <f t="shared" si="24"/>
        <v>0</v>
      </c>
      <c r="AS92" s="32">
        <f t="shared" si="25"/>
        <v>0</v>
      </c>
      <c r="AT92" s="2" t="str">
        <f t="shared" si="26"/>
        <v/>
      </c>
      <c r="AU92" s="31" t="s">
        <v>116</v>
      </c>
      <c r="AV92" s="3">
        <f t="shared" si="27"/>
        <v>0</v>
      </c>
      <c r="AW92" s="3">
        <f t="shared" si="28"/>
        <v>0</v>
      </c>
      <c r="AX92" s="3">
        <f t="shared" si="29"/>
        <v>0</v>
      </c>
      <c r="AY92" s="3">
        <f t="shared" si="30"/>
        <v>0</v>
      </c>
      <c r="AZ92" s="3">
        <f t="shared" si="31"/>
        <v>0</v>
      </c>
      <c r="BA92" s="32">
        <f t="shared" si="32"/>
        <v>0</v>
      </c>
      <c r="BB92" s="2" t="str">
        <f t="shared" si="33"/>
        <v/>
      </c>
    </row>
    <row r="93" spans="1:54" ht="14.4">
      <c r="A93" s="13" t="s">
        <v>161</v>
      </c>
      <c r="B93" s="13"/>
      <c r="C93" s="14" t="str">
        <f>IFERROR(VLOOKUP($B93,'Cost Library'!$A$2:$M$159,2,FALSE),"")</f>
        <v/>
      </c>
      <c r="D93" s="14" t="str">
        <f>IFERROR(VLOOKUP($B93,'Cost Library'!$A$2:$M$159,3,FALSE),"")</f>
        <v/>
      </c>
      <c r="E93" s="13"/>
      <c r="F93" s="13"/>
      <c r="G93" s="13" t="str">
        <f>IFERROR(VLOOKUP($B93,'Cost Library'!$A$2:$M$159,5,FALSE),"")</f>
        <v/>
      </c>
      <c r="H93" s="13"/>
      <c r="I93" s="13"/>
      <c r="J93" s="13"/>
      <c r="K93" s="13"/>
      <c r="L93" s="13">
        <v>1</v>
      </c>
      <c r="M93" s="14" t="str">
        <f>IFERROR(VLOOKUP($B93,'Cost Library'!$A$2:$M$159,6,FALSE),"")</f>
        <v/>
      </c>
      <c r="N93" s="15">
        <f>IFERROR(VLOOKUP($B93,'Cost Library'!$A$2:$M$159,7,FALSE),0)</f>
        <v>0</v>
      </c>
      <c r="O93" s="15">
        <f>IFERROR(VLOOKUP($B93,'Cost Library'!$A$2:$M$159,8,FALSE),0)</f>
        <v>0</v>
      </c>
      <c r="P93" s="15">
        <f>IFERROR(VLOOKUP($B93,'Cost Library'!$A$2:$M$159,9,FALSE),0)</f>
        <v>0</v>
      </c>
      <c r="Q93" s="16"/>
      <c r="R93" s="16" t="s">
        <v>116</v>
      </c>
      <c r="S93" s="17">
        <f t="shared" si="17"/>
        <v>0</v>
      </c>
      <c r="T93" s="18">
        <f>'Project Inputs'!$C$15</f>
        <v>0.1</v>
      </c>
      <c r="U93" s="17">
        <f t="shared" si="18"/>
        <v>0</v>
      </c>
      <c r="V93" s="11" t="s">
        <v>247</v>
      </c>
      <c r="W93" s="14" t="str">
        <f>IFERROR(VLOOKUP($B93,'Cost Library'!$A$2:$M$159,10,FALSE),"")</f>
        <v/>
      </c>
      <c r="X93" s="11"/>
      <c r="Y93" s="11"/>
      <c r="Z93" s="11"/>
      <c r="AA93" s="11"/>
      <c r="AB93" s="11"/>
      <c r="AC93" s="11"/>
      <c r="AD93" s="30"/>
      <c r="AE93" s="31"/>
      <c r="AF93" s="3">
        <f t="shared" si="19"/>
        <v>0</v>
      </c>
      <c r="AG93" s="31"/>
      <c r="AH93" s="31"/>
      <c r="AI93" s="3">
        <f t="shared" si="20"/>
        <v>0</v>
      </c>
      <c r="AJ93" s="31"/>
      <c r="AK93" s="31"/>
      <c r="AL93" s="3">
        <f t="shared" si="21"/>
        <v>0</v>
      </c>
      <c r="AM93" s="3">
        <f>IF($A93&lt;&gt;"Yes",0,IF($R93="Detailed Breakdown",$AF93,$S93*IFERROR(VLOOKUP($B93,'Cost Library'!$A$2:$Q$159,14,FALSE),0.4)))</f>
        <v>0</v>
      </c>
      <c r="AN93" s="3">
        <f>IF($A93&lt;&gt;"Yes",0,IF($R93="Detailed Breakdown",$AI93,$S93*IFERROR(VLOOKUP($B93,'Cost Library'!$A$2:$Q$159,15,FALSE),0.5)))</f>
        <v>0</v>
      </c>
      <c r="AO93" s="3">
        <f>IF($A93&lt;&gt;"Yes",0,IF($R93="Detailed Breakdown",$AJ93+$AK93,$S93*IFERROR(VLOOKUP($B93,'Cost Library'!$A$2:$Q$159,16,FALSE),0.1)))</f>
        <v>0</v>
      </c>
      <c r="AP93" s="3">
        <f t="shared" si="22"/>
        <v>0</v>
      </c>
      <c r="AQ93" s="32">
        <f t="shared" si="23"/>
        <v>0</v>
      </c>
      <c r="AR93" s="32">
        <f t="shared" si="24"/>
        <v>0</v>
      </c>
      <c r="AS93" s="32">
        <f t="shared" si="25"/>
        <v>0</v>
      </c>
      <c r="AT93" s="2" t="str">
        <f t="shared" si="26"/>
        <v/>
      </c>
      <c r="AU93" s="31" t="s">
        <v>116</v>
      </c>
      <c r="AV93" s="3">
        <f t="shared" si="27"/>
        <v>0</v>
      </c>
      <c r="AW93" s="3">
        <f t="shared" si="28"/>
        <v>0</v>
      </c>
      <c r="AX93" s="3">
        <f t="shared" si="29"/>
        <v>0</v>
      </c>
      <c r="AY93" s="3">
        <f t="shared" si="30"/>
        <v>0</v>
      </c>
      <c r="AZ93" s="3">
        <f t="shared" si="31"/>
        <v>0</v>
      </c>
      <c r="BA93" s="32">
        <f t="shared" si="32"/>
        <v>0</v>
      </c>
      <c r="BB93" s="2" t="str">
        <f t="shared" si="33"/>
        <v/>
      </c>
    </row>
    <row r="94" spans="1:54" ht="14.4">
      <c r="A94" s="13" t="s">
        <v>161</v>
      </c>
      <c r="B94" s="13"/>
      <c r="C94" s="14" t="str">
        <f>IFERROR(VLOOKUP($B94,'Cost Library'!$A$2:$M$159,2,FALSE),"")</f>
        <v/>
      </c>
      <c r="D94" s="14" t="str">
        <f>IFERROR(VLOOKUP($B94,'Cost Library'!$A$2:$M$159,3,FALSE),"")</f>
        <v/>
      </c>
      <c r="E94" s="13"/>
      <c r="F94" s="13"/>
      <c r="G94" s="13" t="str">
        <f>IFERROR(VLOOKUP($B94,'Cost Library'!$A$2:$M$159,5,FALSE),"")</f>
        <v/>
      </c>
      <c r="H94" s="13"/>
      <c r="I94" s="13"/>
      <c r="J94" s="13"/>
      <c r="K94" s="13"/>
      <c r="L94" s="13">
        <v>1</v>
      </c>
      <c r="M94" s="14" t="str">
        <f>IFERROR(VLOOKUP($B94,'Cost Library'!$A$2:$M$159,6,FALSE),"")</f>
        <v/>
      </c>
      <c r="N94" s="15">
        <f>IFERROR(VLOOKUP($B94,'Cost Library'!$A$2:$M$159,7,FALSE),0)</f>
        <v>0</v>
      </c>
      <c r="O94" s="15">
        <f>IFERROR(VLOOKUP($B94,'Cost Library'!$A$2:$M$159,8,FALSE),0)</f>
        <v>0</v>
      </c>
      <c r="P94" s="15">
        <f>IFERROR(VLOOKUP($B94,'Cost Library'!$A$2:$M$159,9,FALSE),0)</f>
        <v>0</v>
      </c>
      <c r="Q94" s="16"/>
      <c r="R94" s="16" t="s">
        <v>116</v>
      </c>
      <c r="S94" s="17">
        <f t="shared" si="17"/>
        <v>0</v>
      </c>
      <c r="T94" s="18">
        <f>'Project Inputs'!$C$15</f>
        <v>0.1</v>
      </c>
      <c r="U94" s="17">
        <f t="shared" si="18"/>
        <v>0</v>
      </c>
      <c r="V94" s="11" t="s">
        <v>247</v>
      </c>
      <c r="W94" s="14" t="str">
        <f>IFERROR(VLOOKUP($B94,'Cost Library'!$A$2:$M$159,10,FALSE),"")</f>
        <v/>
      </c>
      <c r="X94" s="11"/>
      <c r="Y94" s="11"/>
      <c r="Z94" s="11"/>
      <c r="AA94" s="11"/>
      <c r="AB94" s="11"/>
      <c r="AC94" s="11"/>
      <c r="AD94" s="30"/>
      <c r="AE94" s="31"/>
      <c r="AF94" s="3">
        <f t="shared" si="19"/>
        <v>0</v>
      </c>
      <c r="AG94" s="31"/>
      <c r="AH94" s="31"/>
      <c r="AI94" s="3">
        <f t="shared" si="20"/>
        <v>0</v>
      </c>
      <c r="AJ94" s="31"/>
      <c r="AK94" s="31"/>
      <c r="AL94" s="3">
        <f t="shared" si="21"/>
        <v>0</v>
      </c>
      <c r="AM94" s="3">
        <f>IF($A94&lt;&gt;"Yes",0,IF($R94="Detailed Breakdown",$AF94,$S94*IFERROR(VLOOKUP($B94,'Cost Library'!$A$2:$Q$159,14,FALSE),0.4)))</f>
        <v>0</v>
      </c>
      <c r="AN94" s="3">
        <f>IF($A94&lt;&gt;"Yes",0,IF($R94="Detailed Breakdown",$AI94,$S94*IFERROR(VLOOKUP($B94,'Cost Library'!$A$2:$Q$159,15,FALSE),0.5)))</f>
        <v>0</v>
      </c>
      <c r="AO94" s="3">
        <f>IF($A94&lt;&gt;"Yes",0,IF($R94="Detailed Breakdown",$AJ94+$AK94,$S94*IFERROR(VLOOKUP($B94,'Cost Library'!$A$2:$Q$159,16,FALSE),0.1)))</f>
        <v>0</v>
      </c>
      <c r="AP94" s="3">
        <f t="shared" si="22"/>
        <v>0</v>
      </c>
      <c r="AQ94" s="32">
        <f t="shared" si="23"/>
        <v>0</v>
      </c>
      <c r="AR94" s="32">
        <f t="shared" si="24"/>
        <v>0</v>
      </c>
      <c r="AS94" s="32">
        <f t="shared" si="25"/>
        <v>0</v>
      </c>
      <c r="AT94" s="2" t="str">
        <f t="shared" si="26"/>
        <v/>
      </c>
      <c r="AU94" s="31" t="s">
        <v>116</v>
      </c>
      <c r="AV94" s="3">
        <f t="shared" si="27"/>
        <v>0</v>
      </c>
      <c r="AW94" s="3">
        <f t="shared" si="28"/>
        <v>0</v>
      </c>
      <c r="AX94" s="3">
        <f t="shared" si="29"/>
        <v>0</v>
      </c>
      <c r="AY94" s="3">
        <f t="shared" si="30"/>
        <v>0</v>
      </c>
      <c r="AZ94" s="3">
        <f t="shared" si="31"/>
        <v>0</v>
      </c>
      <c r="BA94" s="32">
        <f t="shared" si="32"/>
        <v>0</v>
      </c>
      <c r="BB94" s="2" t="str">
        <f t="shared" si="33"/>
        <v/>
      </c>
    </row>
    <row r="95" spans="1:54" ht="14.4">
      <c r="A95" s="13" t="s">
        <v>161</v>
      </c>
      <c r="B95" s="13"/>
      <c r="C95" s="14" t="str">
        <f>IFERROR(VLOOKUP($B95,'Cost Library'!$A$2:$M$159,2,FALSE),"")</f>
        <v/>
      </c>
      <c r="D95" s="14" t="str">
        <f>IFERROR(VLOOKUP($B95,'Cost Library'!$A$2:$M$159,3,FALSE),"")</f>
        <v/>
      </c>
      <c r="E95" s="13"/>
      <c r="F95" s="13"/>
      <c r="G95" s="13" t="str">
        <f>IFERROR(VLOOKUP($B95,'Cost Library'!$A$2:$M$159,5,FALSE),"")</f>
        <v/>
      </c>
      <c r="H95" s="13"/>
      <c r="I95" s="13"/>
      <c r="J95" s="13"/>
      <c r="K95" s="13"/>
      <c r="L95" s="13">
        <v>1</v>
      </c>
      <c r="M95" s="14" t="str">
        <f>IFERROR(VLOOKUP($B95,'Cost Library'!$A$2:$M$159,6,FALSE),"")</f>
        <v/>
      </c>
      <c r="N95" s="15">
        <f>IFERROR(VLOOKUP($B95,'Cost Library'!$A$2:$M$159,7,FALSE),0)</f>
        <v>0</v>
      </c>
      <c r="O95" s="15">
        <f>IFERROR(VLOOKUP($B95,'Cost Library'!$A$2:$M$159,8,FALSE),0)</f>
        <v>0</v>
      </c>
      <c r="P95" s="15">
        <f>IFERROR(VLOOKUP($B95,'Cost Library'!$A$2:$M$159,9,FALSE),0)</f>
        <v>0</v>
      </c>
      <c r="Q95" s="16"/>
      <c r="R95" s="16" t="s">
        <v>116</v>
      </c>
      <c r="S95" s="17">
        <f t="shared" si="17"/>
        <v>0</v>
      </c>
      <c r="T95" s="18">
        <f>'Project Inputs'!$C$15</f>
        <v>0.1</v>
      </c>
      <c r="U95" s="17">
        <f t="shared" si="18"/>
        <v>0</v>
      </c>
      <c r="V95" s="11" t="s">
        <v>247</v>
      </c>
      <c r="W95" s="14" t="str">
        <f>IFERROR(VLOOKUP($B95,'Cost Library'!$A$2:$M$159,10,FALSE),"")</f>
        <v/>
      </c>
      <c r="X95" s="11"/>
      <c r="Y95" s="11"/>
      <c r="Z95" s="11"/>
      <c r="AA95" s="11"/>
      <c r="AB95" s="11"/>
      <c r="AC95" s="11"/>
      <c r="AD95" s="30"/>
      <c r="AE95" s="31"/>
      <c r="AF95" s="3">
        <f t="shared" si="19"/>
        <v>0</v>
      </c>
      <c r="AG95" s="31"/>
      <c r="AH95" s="31"/>
      <c r="AI95" s="3">
        <f t="shared" si="20"/>
        <v>0</v>
      </c>
      <c r="AJ95" s="31"/>
      <c r="AK95" s="31"/>
      <c r="AL95" s="3">
        <f t="shared" si="21"/>
        <v>0</v>
      </c>
      <c r="AM95" s="3">
        <f>IF($A95&lt;&gt;"Yes",0,IF($R95="Detailed Breakdown",$AF95,$S95*IFERROR(VLOOKUP($B95,'Cost Library'!$A$2:$Q$159,14,FALSE),0.4)))</f>
        <v>0</v>
      </c>
      <c r="AN95" s="3">
        <f>IF($A95&lt;&gt;"Yes",0,IF($R95="Detailed Breakdown",$AI95,$S95*IFERROR(VLOOKUP($B95,'Cost Library'!$A$2:$Q$159,15,FALSE),0.5)))</f>
        <v>0</v>
      </c>
      <c r="AO95" s="3">
        <f>IF($A95&lt;&gt;"Yes",0,IF($R95="Detailed Breakdown",$AJ95+$AK95,$S95*IFERROR(VLOOKUP($B95,'Cost Library'!$A$2:$Q$159,16,FALSE),0.1)))</f>
        <v>0</v>
      </c>
      <c r="AP95" s="3">
        <f t="shared" si="22"/>
        <v>0</v>
      </c>
      <c r="AQ95" s="32">
        <f t="shared" si="23"/>
        <v>0</v>
      </c>
      <c r="AR95" s="32">
        <f t="shared" si="24"/>
        <v>0</v>
      </c>
      <c r="AS95" s="32">
        <f t="shared" si="25"/>
        <v>0</v>
      </c>
      <c r="AT95" s="2" t="str">
        <f t="shared" si="26"/>
        <v/>
      </c>
      <c r="AU95" s="31" t="s">
        <v>116</v>
      </c>
      <c r="AV95" s="3">
        <f t="shared" si="27"/>
        <v>0</v>
      </c>
      <c r="AW95" s="3">
        <f t="shared" si="28"/>
        <v>0</v>
      </c>
      <c r="AX95" s="3">
        <f t="shared" si="29"/>
        <v>0</v>
      </c>
      <c r="AY95" s="3">
        <f t="shared" si="30"/>
        <v>0</v>
      </c>
      <c r="AZ95" s="3">
        <f t="shared" si="31"/>
        <v>0</v>
      </c>
      <c r="BA95" s="32">
        <f t="shared" si="32"/>
        <v>0</v>
      </c>
      <c r="BB95" s="2" t="str">
        <f t="shared" si="33"/>
        <v/>
      </c>
    </row>
    <row r="96" spans="1:54" ht="14.4">
      <c r="A96" s="13" t="s">
        <v>161</v>
      </c>
      <c r="B96" s="13"/>
      <c r="C96" s="14" t="str">
        <f>IFERROR(VLOOKUP($B96,'Cost Library'!$A$2:$M$159,2,FALSE),"")</f>
        <v/>
      </c>
      <c r="D96" s="14" t="str">
        <f>IFERROR(VLOOKUP($B96,'Cost Library'!$A$2:$M$159,3,FALSE),"")</f>
        <v/>
      </c>
      <c r="E96" s="13"/>
      <c r="F96" s="13"/>
      <c r="G96" s="13" t="str">
        <f>IFERROR(VLOOKUP($B96,'Cost Library'!$A$2:$M$159,5,FALSE),"")</f>
        <v/>
      </c>
      <c r="H96" s="13"/>
      <c r="I96" s="13"/>
      <c r="J96" s="13"/>
      <c r="K96" s="13"/>
      <c r="L96" s="13">
        <v>1</v>
      </c>
      <c r="M96" s="14" t="str">
        <f>IFERROR(VLOOKUP($B96,'Cost Library'!$A$2:$M$159,6,FALSE),"")</f>
        <v/>
      </c>
      <c r="N96" s="15">
        <f>IFERROR(VLOOKUP($B96,'Cost Library'!$A$2:$M$159,7,FALSE),0)</f>
        <v>0</v>
      </c>
      <c r="O96" s="15">
        <f>IFERROR(VLOOKUP($B96,'Cost Library'!$A$2:$M$159,8,FALSE),0)</f>
        <v>0</v>
      </c>
      <c r="P96" s="15">
        <f>IFERROR(VLOOKUP($B96,'Cost Library'!$A$2:$M$159,9,FALSE),0)</f>
        <v>0</v>
      </c>
      <c r="Q96" s="16"/>
      <c r="R96" s="16" t="s">
        <v>116</v>
      </c>
      <c r="S96" s="17">
        <f t="shared" si="17"/>
        <v>0</v>
      </c>
      <c r="T96" s="18">
        <f>'Project Inputs'!$C$15</f>
        <v>0.1</v>
      </c>
      <c r="U96" s="17">
        <f t="shared" si="18"/>
        <v>0</v>
      </c>
      <c r="V96" s="11" t="s">
        <v>247</v>
      </c>
      <c r="W96" s="14" t="str">
        <f>IFERROR(VLOOKUP($B96,'Cost Library'!$A$2:$M$159,10,FALSE),"")</f>
        <v/>
      </c>
      <c r="X96" s="11"/>
      <c r="Y96" s="11"/>
      <c r="Z96" s="11"/>
      <c r="AA96" s="11"/>
      <c r="AB96" s="11"/>
      <c r="AC96" s="11"/>
      <c r="AD96" s="30"/>
      <c r="AE96" s="31"/>
      <c r="AF96" s="3">
        <f t="shared" si="19"/>
        <v>0</v>
      </c>
      <c r="AG96" s="31"/>
      <c r="AH96" s="31"/>
      <c r="AI96" s="3">
        <f t="shared" si="20"/>
        <v>0</v>
      </c>
      <c r="AJ96" s="31"/>
      <c r="AK96" s="31"/>
      <c r="AL96" s="3">
        <f t="shared" si="21"/>
        <v>0</v>
      </c>
      <c r="AM96" s="3">
        <f>IF($A96&lt;&gt;"Yes",0,IF($R96="Detailed Breakdown",$AF96,$S96*IFERROR(VLOOKUP($B96,'Cost Library'!$A$2:$Q$159,14,FALSE),0.4)))</f>
        <v>0</v>
      </c>
      <c r="AN96" s="3">
        <f>IF($A96&lt;&gt;"Yes",0,IF($R96="Detailed Breakdown",$AI96,$S96*IFERROR(VLOOKUP($B96,'Cost Library'!$A$2:$Q$159,15,FALSE),0.5)))</f>
        <v>0</v>
      </c>
      <c r="AO96" s="3">
        <f>IF($A96&lt;&gt;"Yes",0,IF($R96="Detailed Breakdown",$AJ96+$AK96,$S96*IFERROR(VLOOKUP($B96,'Cost Library'!$A$2:$Q$159,16,FALSE),0.1)))</f>
        <v>0</v>
      </c>
      <c r="AP96" s="3">
        <f t="shared" si="22"/>
        <v>0</v>
      </c>
      <c r="AQ96" s="32">
        <f t="shared" si="23"/>
        <v>0</v>
      </c>
      <c r="AR96" s="32">
        <f t="shared" si="24"/>
        <v>0</v>
      </c>
      <c r="AS96" s="32">
        <f t="shared" si="25"/>
        <v>0</v>
      </c>
      <c r="AT96" s="2" t="str">
        <f t="shared" si="26"/>
        <v/>
      </c>
      <c r="AU96" s="31" t="s">
        <v>116</v>
      </c>
      <c r="AV96" s="3">
        <f t="shared" si="27"/>
        <v>0</v>
      </c>
      <c r="AW96" s="3">
        <f t="shared" si="28"/>
        <v>0</v>
      </c>
      <c r="AX96" s="3">
        <f t="shared" si="29"/>
        <v>0</v>
      </c>
      <c r="AY96" s="3">
        <f t="shared" si="30"/>
        <v>0</v>
      </c>
      <c r="AZ96" s="3">
        <f t="shared" si="31"/>
        <v>0</v>
      </c>
      <c r="BA96" s="32">
        <f t="shared" si="32"/>
        <v>0</v>
      </c>
      <c r="BB96" s="2" t="str">
        <f t="shared" si="33"/>
        <v/>
      </c>
    </row>
    <row r="97" spans="1:54" ht="14.4">
      <c r="A97" s="13" t="s">
        <v>161</v>
      </c>
      <c r="B97" s="13"/>
      <c r="C97" s="14" t="str">
        <f>IFERROR(VLOOKUP($B97,'Cost Library'!$A$2:$M$159,2,FALSE),"")</f>
        <v/>
      </c>
      <c r="D97" s="14" t="str">
        <f>IFERROR(VLOOKUP($B97,'Cost Library'!$A$2:$M$159,3,FALSE),"")</f>
        <v/>
      </c>
      <c r="E97" s="13"/>
      <c r="F97" s="13"/>
      <c r="G97" s="13" t="str">
        <f>IFERROR(VLOOKUP($B97,'Cost Library'!$A$2:$M$159,5,FALSE),"")</f>
        <v/>
      </c>
      <c r="H97" s="13"/>
      <c r="I97" s="13"/>
      <c r="J97" s="13"/>
      <c r="K97" s="13"/>
      <c r="L97" s="13">
        <v>1</v>
      </c>
      <c r="M97" s="14" t="str">
        <f>IFERROR(VLOOKUP($B97,'Cost Library'!$A$2:$M$159,6,FALSE),"")</f>
        <v/>
      </c>
      <c r="N97" s="15">
        <f>IFERROR(VLOOKUP($B97,'Cost Library'!$A$2:$M$159,7,FALSE),0)</f>
        <v>0</v>
      </c>
      <c r="O97" s="15">
        <f>IFERROR(VLOOKUP($B97,'Cost Library'!$A$2:$M$159,8,FALSE),0)</f>
        <v>0</v>
      </c>
      <c r="P97" s="15">
        <f>IFERROR(VLOOKUP($B97,'Cost Library'!$A$2:$M$159,9,FALSE),0)</f>
        <v>0</v>
      </c>
      <c r="Q97" s="16"/>
      <c r="R97" s="16" t="s">
        <v>116</v>
      </c>
      <c r="S97" s="17">
        <f t="shared" si="17"/>
        <v>0</v>
      </c>
      <c r="T97" s="18">
        <f>'Project Inputs'!$C$15</f>
        <v>0.1</v>
      </c>
      <c r="U97" s="17">
        <f t="shared" si="18"/>
        <v>0</v>
      </c>
      <c r="V97" s="11" t="s">
        <v>247</v>
      </c>
      <c r="W97" s="14" t="str">
        <f>IFERROR(VLOOKUP($B97,'Cost Library'!$A$2:$M$159,10,FALSE),"")</f>
        <v/>
      </c>
      <c r="X97" s="11"/>
      <c r="Y97" s="11"/>
      <c r="Z97" s="11"/>
      <c r="AA97" s="11"/>
      <c r="AB97" s="11"/>
      <c r="AC97" s="11"/>
      <c r="AD97" s="30"/>
      <c r="AE97" s="31"/>
      <c r="AF97" s="3">
        <f t="shared" si="19"/>
        <v>0</v>
      </c>
      <c r="AG97" s="31"/>
      <c r="AH97" s="31"/>
      <c r="AI97" s="3">
        <f t="shared" si="20"/>
        <v>0</v>
      </c>
      <c r="AJ97" s="31"/>
      <c r="AK97" s="31"/>
      <c r="AL97" s="3">
        <f t="shared" si="21"/>
        <v>0</v>
      </c>
      <c r="AM97" s="3">
        <f>IF($A97&lt;&gt;"Yes",0,IF($R97="Detailed Breakdown",$AF97,$S97*IFERROR(VLOOKUP($B97,'Cost Library'!$A$2:$Q$159,14,FALSE),0.4)))</f>
        <v>0</v>
      </c>
      <c r="AN97" s="3">
        <f>IF($A97&lt;&gt;"Yes",0,IF($R97="Detailed Breakdown",$AI97,$S97*IFERROR(VLOOKUP($B97,'Cost Library'!$A$2:$Q$159,15,FALSE),0.5)))</f>
        <v>0</v>
      </c>
      <c r="AO97" s="3">
        <f>IF($A97&lt;&gt;"Yes",0,IF($R97="Detailed Breakdown",$AJ97+$AK97,$S97*IFERROR(VLOOKUP($B97,'Cost Library'!$A$2:$Q$159,16,FALSE),0.1)))</f>
        <v>0</v>
      </c>
      <c r="AP97" s="3">
        <f t="shared" si="22"/>
        <v>0</v>
      </c>
      <c r="AQ97" s="32">
        <f t="shared" si="23"/>
        <v>0</v>
      </c>
      <c r="AR97" s="32">
        <f t="shared" si="24"/>
        <v>0</v>
      </c>
      <c r="AS97" s="32">
        <f t="shared" si="25"/>
        <v>0</v>
      </c>
      <c r="AT97" s="2" t="str">
        <f t="shared" si="26"/>
        <v/>
      </c>
      <c r="AU97" s="31" t="s">
        <v>116</v>
      </c>
      <c r="AV97" s="3">
        <f t="shared" si="27"/>
        <v>0</v>
      </c>
      <c r="AW97" s="3">
        <f t="shared" si="28"/>
        <v>0</v>
      </c>
      <c r="AX97" s="3">
        <f t="shared" si="29"/>
        <v>0</v>
      </c>
      <c r="AY97" s="3">
        <f t="shared" si="30"/>
        <v>0</v>
      </c>
      <c r="AZ97" s="3">
        <f t="shared" si="31"/>
        <v>0</v>
      </c>
      <c r="BA97" s="32">
        <f t="shared" si="32"/>
        <v>0</v>
      </c>
      <c r="BB97" s="2" t="str">
        <f t="shared" si="33"/>
        <v/>
      </c>
    </row>
    <row r="98" spans="1:54" ht="14.4">
      <c r="A98" s="13" t="s">
        <v>161</v>
      </c>
      <c r="B98" s="13"/>
      <c r="C98" s="14" t="str">
        <f>IFERROR(VLOOKUP($B98,'Cost Library'!$A$2:$M$159,2,FALSE),"")</f>
        <v/>
      </c>
      <c r="D98" s="14" t="str">
        <f>IFERROR(VLOOKUP($B98,'Cost Library'!$A$2:$M$159,3,FALSE),"")</f>
        <v/>
      </c>
      <c r="E98" s="13"/>
      <c r="F98" s="13"/>
      <c r="G98" s="13" t="str">
        <f>IFERROR(VLOOKUP($B98,'Cost Library'!$A$2:$M$159,5,FALSE),"")</f>
        <v/>
      </c>
      <c r="H98" s="13"/>
      <c r="I98" s="13"/>
      <c r="J98" s="13"/>
      <c r="K98" s="13"/>
      <c r="L98" s="13">
        <v>1</v>
      </c>
      <c r="M98" s="14" t="str">
        <f>IFERROR(VLOOKUP($B98,'Cost Library'!$A$2:$M$159,6,FALSE),"")</f>
        <v/>
      </c>
      <c r="N98" s="15">
        <f>IFERROR(VLOOKUP($B98,'Cost Library'!$A$2:$M$159,7,FALSE),0)</f>
        <v>0</v>
      </c>
      <c r="O98" s="15">
        <f>IFERROR(VLOOKUP($B98,'Cost Library'!$A$2:$M$159,8,FALSE),0)</f>
        <v>0</v>
      </c>
      <c r="P98" s="15">
        <f>IFERROR(VLOOKUP($B98,'Cost Library'!$A$2:$M$159,9,FALSE),0)</f>
        <v>0</v>
      </c>
      <c r="Q98" s="16"/>
      <c r="R98" s="16" t="s">
        <v>116</v>
      </c>
      <c r="S98" s="17">
        <f t="shared" si="17"/>
        <v>0</v>
      </c>
      <c r="T98" s="18">
        <f>'Project Inputs'!$C$15</f>
        <v>0.1</v>
      </c>
      <c r="U98" s="17">
        <f t="shared" si="18"/>
        <v>0</v>
      </c>
      <c r="V98" s="11" t="s">
        <v>247</v>
      </c>
      <c r="W98" s="14" t="str">
        <f>IFERROR(VLOOKUP($B98,'Cost Library'!$A$2:$M$159,10,FALSE),"")</f>
        <v/>
      </c>
      <c r="X98" s="11"/>
      <c r="Y98" s="11"/>
      <c r="Z98" s="11"/>
      <c r="AA98" s="11"/>
      <c r="AB98" s="11"/>
      <c r="AC98" s="11"/>
      <c r="AD98" s="30"/>
      <c r="AE98" s="31"/>
      <c r="AF98" s="3">
        <f t="shared" si="19"/>
        <v>0</v>
      </c>
      <c r="AG98" s="31"/>
      <c r="AH98" s="31"/>
      <c r="AI98" s="3">
        <f t="shared" si="20"/>
        <v>0</v>
      </c>
      <c r="AJ98" s="31"/>
      <c r="AK98" s="31"/>
      <c r="AL98" s="3">
        <f t="shared" si="21"/>
        <v>0</v>
      </c>
      <c r="AM98" s="3">
        <f>IF($A98&lt;&gt;"Yes",0,IF($R98="Detailed Breakdown",$AF98,$S98*IFERROR(VLOOKUP($B98,'Cost Library'!$A$2:$Q$159,14,FALSE),0.4)))</f>
        <v>0</v>
      </c>
      <c r="AN98" s="3">
        <f>IF($A98&lt;&gt;"Yes",0,IF($R98="Detailed Breakdown",$AI98,$S98*IFERROR(VLOOKUP($B98,'Cost Library'!$A$2:$Q$159,15,FALSE),0.5)))</f>
        <v>0</v>
      </c>
      <c r="AO98" s="3">
        <f>IF($A98&lt;&gt;"Yes",0,IF($R98="Detailed Breakdown",$AJ98+$AK98,$S98*IFERROR(VLOOKUP($B98,'Cost Library'!$A$2:$Q$159,16,FALSE),0.1)))</f>
        <v>0</v>
      </c>
      <c r="AP98" s="3">
        <f t="shared" si="22"/>
        <v>0</v>
      </c>
      <c r="AQ98" s="32">
        <f t="shared" si="23"/>
        <v>0</v>
      </c>
      <c r="AR98" s="32">
        <f t="shared" si="24"/>
        <v>0</v>
      </c>
      <c r="AS98" s="32">
        <f t="shared" si="25"/>
        <v>0</v>
      </c>
      <c r="AT98" s="2" t="str">
        <f t="shared" si="26"/>
        <v/>
      </c>
      <c r="AU98" s="31" t="s">
        <v>116</v>
      </c>
      <c r="AV98" s="3">
        <f t="shared" si="27"/>
        <v>0</v>
      </c>
      <c r="AW98" s="3">
        <f t="shared" si="28"/>
        <v>0</v>
      </c>
      <c r="AX98" s="3">
        <f t="shared" si="29"/>
        <v>0</v>
      </c>
      <c r="AY98" s="3">
        <f t="shared" si="30"/>
        <v>0</v>
      </c>
      <c r="AZ98" s="3">
        <f t="shared" si="31"/>
        <v>0</v>
      </c>
      <c r="BA98" s="32">
        <f t="shared" si="32"/>
        <v>0</v>
      </c>
      <c r="BB98" s="2" t="str">
        <f t="shared" si="33"/>
        <v/>
      </c>
    </row>
    <row r="99" spans="1:54" ht="14.4">
      <c r="A99" s="13" t="s">
        <v>161</v>
      </c>
      <c r="B99" s="13"/>
      <c r="C99" s="14" t="str">
        <f>IFERROR(VLOOKUP($B99,'Cost Library'!$A$2:$M$159,2,FALSE),"")</f>
        <v/>
      </c>
      <c r="D99" s="14" t="str">
        <f>IFERROR(VLOOKUP($B99,'Cost Library'!$A$2:$M$159,3,FALSE),"")</f>
        <v/>
      </c>
      <c r="E99" s="13"/>
      <c r="F99" s="13"/>
      <c r="G99" s="13" t="str">
        <f>IFERROR(VLOOKUP($B99,'Cost Library'!$A$2:$M$159,5,FALSE),"")</f>
        <v/>
      </c>
      <c r="H99" s="13"/>
      <c r="I99" s="13"/>
      <c r="J99" s="13"/>
      <c r="K99" s="13"/>
      <c r="L99" s="13">
        <v>1</v>
      </c>
      <c r="M99" s="14" t="str">
        <f>IFERROR(VLOOKUP($B99,'Cost Library'!$A$2:$M$159,6,FALSE),"")</f>
        <v/>
      </c>
      <c r="N99" s="15">
        <f>IFERROR(VLOOKUP($B99,'Cost Library'!$A$2:$M$159,7,FALSE),0)</f>
        <v>0</v>
      </c>
      <c r="O99" s="15">
        <f>IFERROR(VLOOKUP($B99,'Cost Library'!$A$2:$M$159,8,FALSE),0)</f>
        <v>0</v>
      </c>
      <c r="P99" s="15">
        <f>IFERROR(VLOOKUP($B99,'Cost Library'!$A$2:$M$159,9,FALSE),0)</f>
        <v>0</v>
      </c>
      <c r="Q99" s="16"/>
      <c r="R99" s="16" t="s">
        <v>116</v>
      </c>
      <c r="S99" s="17">
        <f t="shared" si="17"/>
        <v>0</v>
      </c>
      <c r="T99" s="18">
        <f>'Project Inputs'!$C$15</f>
        <v>0.1</v>
      </c>
      <c r="U99" s="17">
        <f t="shared" si="18"/>
        <v>0</v>
      </c>
      <c r="V99" s="11" t="s">
        <v>247</v>
      </c>
      <c r="W99" s="14" t="str">
        <f>IFERROR(VLOOKUP($B99,'Cost Library'!$A$2:$M$159,10,FALSE),"")</f>
        <v/>
      </c>
      <c r="X99" s="11"/>
      <c r="Y99" s="11"/>
      <c r="Z99" s="11"/>
      <c r="AA99" s="11"/>
      <c r="AB99" s="11"/>
      <c r="AC99" s="11"/>
      <c r="AD99" s="30"/>
      <c r="AE99" s="31"/>
      <c r="AF99" s="3">
        <f t="shared" si="19"/>
        <v>0</v>
      </c>
      <c r="AG99" s="31"/>
      <c r="AH99" s="31"/>
      <c r="AI99" s="3">
        <f t="shared" si="20"/>
        <v>0</v>
      </c>
      <c r="AJ99" s="31"/>
      <c r="AK99" s="31"/>
      <c r="AL99" s="3">
        <f t="shared" si="21"/>
        <v>0</v>
      </c>
      <c r="AM99" s="3">
        <f>IF($A99&lt;&gt;"Yes",0,IF($R99="Detailed Breakdown",$AF99,$S99*IFERROR(VLOOKUP($B99,'Cost Library'!$A$2:$Q$159,14,FALSE),0.4)))</f>
        <v>0</v>
      </c>
      <c r="AN99" s="3">
        <f>IF($A99&lt;&gt;"Yes",0,IF($R99="Detailed Breakdown",$AI99,$S99*IFERROR(VLOOKUP($B99,'Cost Library'!$A$2:$Q$159,15,FALSE),0.5)))</f>
        <v>0</v>
      </c>
      <c r="AO99" s="3">
        <f>IF($A99&lt;&gt;"Yes",0,IF($R99="Detailed Breakdown",$AJ99+$AK99,$S99*IFERROR(VLOOKUP($B99,'Cost Library'!$A$2:$Q$159,16,FALSE),0.1)))</f>
        <v>0</v>
      </c>
      <c r="AP99" s="3">
        <f t="shared" si="22"/>
        <v>0</v>
      </c>
      <c r="AQ99" s="32">
        <f t="shared" si="23"/>
        <v>0</v>
      </c>
      <c r="AR99" s="32">
        <f t="shared" si="24"/>
        <v>0</v>
      </c>
      <c r="AS99" s="32">
        <f t="shared" si="25"/>
        <v>0</v>
      </c>
      <c r="AT99" s="2" t="str">
        <f t="shared" si="26"/>
        <v/>
      </c>
      <c r="AU99" s="31" t="s">
        <v>116</v>
      </c>
      <c r="AV99" s="3">
        <f t="shared" si="27"/>
        <v>0</v>
      </c>
      <c r="AW99" s="3">
        <f t="shared" si="28"/>
        <v>0</v>
      </c>
      <c r="AX99" s="3">
        <f t="shared" si="29"/>
        <v>0</v>
      </c>
      <c r="AY99" s="3">
        <f t="shared" si="30"/>
        <v>0</v>
      </c>
      <c r="AZ99" s="3">
        <f t="shared" si="31"/>
        <v>0</v>
      </c>
      <c r="BA99" s="32">
        <f t="shared" si="32"/>
        <v>0</v>
      </c>
      <c r="BB99" s="2" t="str">
        <f t="shared" si="33"/>
        <v/>
      </c>
    </row>
    <row r="100" spans="1:54" ht="14.4">
      <c r="A100" s="13" t="s">
        <v>161</v>
      </c>
      <c r="B100" s="13"/>
      <c r="C100" s="14" t="str">
        <f>IFERROR(VLOOKUP($B100,'Cost Library'!$A$2:$M$159,2,FALSE),"")</f>
        <v/>
      </c>
      <c r="D100" s="14" t="str">
        <f>IFERROR(VLOOKUP($B100,'Cost Library'!$A$2:$M$159,3,FALSE),"")</f>
        <v/>
      </c>
      <c r="E100" s="13"/>
      <c r="F100" s="13"/>
      <c r="G100" s="13" t="str">
        <f>IFERROR(VLOOKUP($B100,'Cost Library'!$A$2:$M$159,5,FALSE),"")</f>
        <v/>
      </c>
      <c r="H100" s="13"/>
      <c r="I100" s="13"/>
      <c r="J100" s="13"/>
      <c r="K100" s="13"/>
      <c r="L100" s="13">
        <v>1</v>
      </c>
      <c r="M100" s="14" t="str">
        <f>IFERROR(VLOOKUP($B100,'Cost Library'!$A$2:$M$159,6,FALSE),"")</f>
        <v/>
      </c>
      <c r="N100" s="15">
        <f>IFERROR(VLOOKUP($B100,'Cost Library'!$A$2:$M$159,7,FALSE),0)</f>
        <v>0</v>
      </c>
      <c r="O100" s="15">
        <f>IFERROR(VLOOKUP($B100,'Cost Library'!$A$2:$M$159,8,FALSE),0)</f>
        <v>0</v>
      </c>
      <c r="P100" s="15">
        <f>IFERROR(VLOOKUP($B100,'Cost Library'!$A$2:$M$159,9,FALSE),0)</f>
        <v>0</v>
      </c>
      <c r="Q100" s="16"/>
      <c r="R100" s="16" t="s">
        <v>116</v>
      </c>
      <c r="S100" s="17">
        <f t="shared" si="17"/>
        <v>0</v>
      </c>
      <c r="T100" s="18">
        <f>'Project Inputs'!$C$15</f>
        <v>0.1</v>
      </c>
      <c r="U100" s="17">
        <f t="shared" si="18"/>
        <v>0</v>
      </c>
      <c r="V100" s="11" t="s">
        <v>247</v>
      </c>
      <c r="W100" s="14" t="str">
        <f>IFERROR(VLOOKUP($B100,'Cost Library'!$A$2:$M$159,10,FALSE),"")</f>
        <v/>
      </c>
      <c r="X100" s="11"/>
      <c r="Y100" s="11"/>
      <c r="Z100" s="11"/>
      <c r="AA100" s="11"/>
      <c r="AB100" s="11"/>
      <c r="AC100" s="11"/>
      <c r="AD100" s="30"/>
      <c r="AE100" s="31"/>
      <c r="AF100" s="3">
        <f t="shared" si="19"/>
        <v>0</v>
      </c>
      <c r="AG100" s="31"/>
      <c r="AH100" s="31"/>
      <c r="AI100" s="3">
        <f t="shared" si="20"/>
        <v>0</v>
      </c>
      <c r="AJ100" s="31"/>
      <c r="AK100" s="31"/>
      <c r="AL100" s="3">
        <f t="shared" si="21"/>
        <v>0</v>
      </c>
      <c r="AM100" s="3">
        <f>IF($A100&lt;&gt;"Yes",0,IF($R100="Detailed Breakdown",$AF100,$S100*IFERROR(VLOOKUP($B100,'Cost Library'!$A$2:$Q$159,14,FALSE),0.4)))</f>
        <v>0</v>
      </c>
      <c r="AN100" s="3">
        <f>IF($A100&lt;&gt;"Yes",0,IF($R100="Detailed Breakdown",$AI100,$S100*IFERROR(VLOOKUP($B100,'Cost Library'!$A$2:$Q$159,15,FALSE),0.5)))</f>
        <v>0</v>
      </c>
      <c r="AO100" s="3">
        <f>IF($A100&lt;&gt;"Yes",0,IF($R100="Detailed Breakdown",$AJ100+$AK100,$S100*IFERROR(VLOOKUP($B100,'Cost Library'!$A$2:$Q$159,16,FALSE),0.1)))</f>
        <v>0</v>
      </c>
      <c r="AP100" s="3">
        <f t="shared" si="22"/>
        <v>0</v>
      </c>
      <c r="AQ100" s="32">
        <f t="shared" si="23"/>
        <v>0</v>
      </c>
      <c r="AR100" s="32">
        <f t="shared" si="24"/>
        <v>0</v>
      </c>
      <c r="AS100" s="32">
        <f t="shared" si="25"/>
        <v>0</v>
      </c>
      <c r="AT100" s="2" t="str">
        <f t="shared" si="26"/>
        <v/>
      </c>
      <c r="AU100" s="31" t="s">
        <v>116</v>
      </c>
      <c r="AV100" s="3">
        <f t="shared" si="27"/>
        <v>0</v>
      </c>
      <c r="AW100" s="3">
        <f t="shared" si="28"/>
        <v>0</v>
      </c>
      <c r="AX100" s="3">
        <f t="shared" si="29"/>
        <v>0</v>
      </c>
      <c r="AY100" s="3">
        <f t="shared" si="30"/>
        <v>0</v>
      </c>
      <c r="AZ100" s="3">
        <f t="shared" si="31"/>
        <v>0</v>
      </c>
      <c r="BA100" s="32">
        <f t="shared" si="32"/>
        <v>0</v>
      </c>
      <c r="BB100" s="2" t="str">
        <f t="shared" si="33"/>
        <v/>
      </c>
    </row>
    <row r="101" spans="1:54" ht="14.4">
      <c r="A101" s="13" t="s">
        <v>161</v>
      </c>
      <c r="B101" s="13"/>
      <c r="C101" s="14" t="str">
        <f>IFERROR(VLOOKUP($B101,'Cost Library'!$A$2:$M$159,2,FALSE),"")</f>
        <v/>
      </c>
      <c r="D101" s="14" t="str">
        <f>IFERROR(VLOOKUP($B101,'Cost Library'!$A$2:$M$159,3,FALSE),"")</f>
        <v/>
      </c>
      <c r="E101" s="13"/>
      <c r="F101" s="13"/>
      <c r="G101" s="13" t="str">
        <f>IFERROR(VLOOKUP($B101,'Cost Library'!$A$2:$M$159,5,FALSE),"")</f>
        <v/>
      </c>
      <c r="H101" s="13"/>
      <c r="I101" s="13"/>
      <c r="J101" s="13"/>
      <c r="K101" s="13"/>
      <c r="L101" s="13">
        <v>1</v>
      </c>
      <c r="M101" s="14" t="str">
        <f>IFERROR(VLOOKUP($B101,'Cost Library'!$A$2:$M$159,6,FALSE),"")</f>
        <v/>
      </c>
      <c r="N101" s="15">
        <f>IFERROR(VLOOKUP($B101,'Cost Library'!$A$2:$M$159,7,FALSE),0)</f>
        <v>0</v>
      </c>
      <c r="O101" s="15">
        <f>IFERROR(VLOOKUP($B101,'Cost Library'!$A$2:$M$159,8,FALSE),0)</f>
        <v>0</v>
      </c>
      <c r="P101" s="15">
        <f>IFERROR(VLOOKUP($B101,'Cost Library'!$A$2:$M$159,9,FALSE),0)</f>
        <v>0</v>
      </c>
      <c r="Q101" s="16"/>
      <c r="R101" s="16" t="s">
        <v>116</v>
      </c>
      <c r="S101" s="17">
        <f t="shared" si="17"/>
        <v>0</v>
      </c>
      <c r="T101" s="18">
        <f>'Project Inputs'!$C$15</f>
        <v>0.1</v>
      </c>
      <c r="U101" s="17">
        <f t="shared" si="18"/>
        <v>0</v>
      </c>
      <c r="V101" s="11" t="s">
        <v>247</v>
      </c>
      <c r="W101" s="14" t="str">
        <f>IFERROR(VLOOKUP($B101,'Cost Library'!$A$2:$M$159,10,FALSE),"")</f>
        <v/>
      </c>
      <c r="X101" s="11"/>
      <c r="Y101" s="11"/>
      <c r="Z101" s="11"/>
      <c r="AA101" s="11"/>
      <c r="AB101" s="11"/>
      <c r="AC101" s="11"/>
      <c r="AD101" s="30"/>
      <c r="AE101" s="31"/>
      <c r="AF101" s="3">
        <f t="shared" si="19"/>
        <v>0</v>
      </c>
      <c r="AG101" s="31"/>
      <c r="AH101" s="31"/>
      <c r="AI101" s="3">
        <f t="shared" si="20"/>
        <v>0</v>
      </c>
      <c r="AJ101" s="31"/>
      <c r="AK101" s="31"/>
      <c r="AL101" s="3">
        <f t="shared" si="21"/>
        <v>0</v>
      </c>
      <c r="AM101" s="3">
        <f>IF($A101&lt;&gt;"Yes",0,IF($R101="Detailed Breakdown",$AF101,$S101*IFERROR(VLOOKUP($B101,'Cost Library'!$A$2:$Q$159,14,FALSE),0.4)))</f>
        <v>0</v>
      </c>
      <c r="AN101" s="3">
        <f>IF($A101&lt;&gt;"Yes",0,IF($R101="Detailed Breakdown",$AI101,$S101*IFERROR(VLOOKUP($B101,'Cost Library'!$A$2:$Q$159,15,FALSE),0.5)))</f>
        <v>0</v>
      </c>
      <c r="AO101" s="3">
        <f>IF($A101&lt;&gt;"Yes",0,IF($R101="Detailed Breakdown",$AJ101+$AK101,$S101*IFERROR(VLOOKUP($B101,'Cost Library'!$A$2:$Q$159,16,FALSE),0.1)))</f>
        <v>0</v>
      </c>
      <c r="AP101" s="3">
        <f t="shared" si="22"/>
        <v>0</v>
      </c>
      <c r="AQ101" s="32">
        <f t="shared" si="23"/>
        <v>0</v>
      </c>
      <c r="AR101" s="32">
        <f t="shared" si="24"/>
        <v>0</v>
      </c>
      <c r="AS101" s="32">
        <f t="shared" si="25"/>
        <v>0</v>
      </c>
      <c r="AT101" s="2" t="str">
        <f t="shared" si="26"/>
        <v/>
      </c>
      <c r="AU101" s="31" t="s">
        <v>116</v>
      </c>
      <c r="AV101" s="3">
        <f t="shared" si="27"/>
        <v>0</v>
      </c>
      <c r="AW101" s="3">
        <f t="shared" si="28"/>
        <v>0</v>
      </c>
      <c r="AX101" s="3">
        <f t="shared" si="29"/>
        <v>0</v>
      </c>
      <c r="AY101" s="3">
        <f t="shared" si="30"/>
        <v>0</v>
      </c>
      <c r="AZ101" s="3">
        <f t="shared" si="31"/>
        <v>0</v>
      </c>
      <c r="BA101" s="32">
        <f t="shared" si="32"/>
        <v>0</v>
      </c>
      <c r="BB101" s="2" t="str">
        <f t="shared" si="33"/>
        <v/>
      </c>
    </row>
    <row r="102" spans="1:54" ht="14.4">
      <c r="A102" s="13" t="s">
        <v>161</v>
      </c>
      <c r="B102" s="13"/>
      <c r="C102" s="14" t="str">
        <f>IFERROR(VLOOKUP($B102,'Cost Library'!$A$2:$M$159,2,FALSE),"")</f>
        <v/>
      </c>
      <c r="D102" s="14" t="str">
        <f>IFERROR(VLOOKUP($B102,'Cost Library'!$A$2:$M$159,3,FALSE),"")</f>
        <v/>
      </c>
      <c r="E102" s="13"/>
      <c r="F102" s="13"/>
      <c r="G102" s="13" t="str">
        <f>IFERROR(VLOOKUP($B102,'Cost Library'!$A$2:$M$159,5,FALSE),"")</f>
        <v/>
      </c>
      <c r="H102" s="13"/>
      <c r="I102" s="13"/>
      <c r="J102" s="13"/>
      <c r="K102" s="13"/>
      <c r="L102" s="13">
        <v>1</v>
      </c>
      <c r="M102" s="14" t="str">
        <f>IFERROR(VLOOKUP($B102,'Cost Library'!$A$2:$M$159,6,FALSE),"")</f>
        <v/>
      </c>
      <c r="N102" s="15">
        <f>IFERROR(VLOOKUP($B102,'Cost Library'!$A$2:$M$159,7,FALSE),0)</f>
        <v>0</v>
      </c>
      <c r="O102" s="15">
        <f>IFERROR(VLOOKUP($B102,'Cost Library'!$A$2:$M$159,8,FALSE),0)</f>
        <v>0</v>
      </c>
      <c r="P102" s="15">
        <f>IFERROR(VLOOKUP($B102,'Cost Library'!$A$2:$M$159,9,FALSE),0)</f>
        <v>0</v>
      </c>
      <c r="Q102" s="16"/>
      <c r="R102" s="16" t="s">
        <v>116</v>
      </c>
      <c r="S102" s="17">
        <f t="shared" si="17"/>
        <v>0</v>
      </c>
      <c r="T102" s="18">
        <f>'Project Inputs'!$C$15</f>
        <v>0.1</v>
      </c>
      <c r="U102" s="17">
        <f t="shared" si="18"/>
        <v>0</v>
      </c>
      <c r="V102" s="11" t="s">
        <v>247</v>
      </c>
      <c r="W102" s="14" t="str">
        <f>IFERROR(VLOOKUP($B102,'Cost Library'!$A$2:$M$159,10,FALSE),"")</f>
        <v/>
      </c>
      <c r="X102" s="11"/>
      <c r="Y102" s="11"/>
      <c r="Z102" s="11"/>
      <c r="AA102" s="11"/>
      <c r="AB102" s="11"/>
      <c r="AC102" s="11"/>
      <c r="AD102" s="30"/>
      <c r="AE102" s="31"/>
      <c r="AF102" s="3">
        <f t="shared" si="19"/>
        <v>0</v>
      </c>
      <c r="AG102" s="31"/>
      <c r="AH102" s="31"/>
      <c r="AI102" s="3">
        <f t="shared" si="20"/>
        <v>0</v>
      </c>
      <c r="AJ102" s="31"/>
      <c r="AK102" s="31"/>
      <c r="AL102" s="3">
        <f t="shared" si="21"/>
        <v>0</v>
      </c>
      <c r="AM102" s="3">
        <f>IF($A102&lt;&gt;"Yes",0,IF($R102="Detailed Breakdown",$AF102,$S102*IFERROR(VLOOKUP($B102,'Cost Library'!$A$2:$Q$159,14,FALSE),0.4)))</f>
        <v>0</v>
      </c>
      <c r="AN102" s="3">
        <f>IF($A102&lt;&gt;"Yes",0,IF($R102="Detailed Breakdown",$AI102,$S102*IFERROR(VLOOKUP($B102,'Cost Library'!$A$2:$Q$159,15,FALSE),0.5)))</f>
        <v>0</v>
      </c>
      <c r="AO102" s="3">
        <f>IF($A102&lt;&gt;"Yes",0,IF($R102="Detailed Breakdown",$AJ102+$AK102,$S102*IFERROR(VLOOKUP($B102,'Cost Library'!$A$2:$Q$159,16,FALSE),0.1)))</f>
        <v>0</v>
      </c>
      <c r="AP102" s="3">
        <f t="shared" si="22"/>
        <v>0</v>
      </c>
      <c r="AQ102" s="32">
        <f t="shared" si="23"/>
        <v>0</v>
      </c>
      <c r="AR102" s="32">
        <f t="shared" si="24"/>
        <v>0</v>
      </c>
      <c r="AS102" s="32">
        <f t="shared" si="25"/>
        <v>0</v>
      </c>
      <c r="AT102" s="2" t="str">
        <f t="shared" si="26"/>
        <v/>
      </c>
      <c r="AU102" s="31" t="s">
        <v>116</v>
      </c>
      <c r="AV102" s="3">
        <f t="shared" si="27"/>
        <v>0</v>
      </c>
      <c r="AW102" s="3">
        <f t="shared" si="28"/>
        <v>0</v>
      </c>
      <c r="AX102" s="3">
        <f t="shared" si="29"/>
        <v>0</v>
      </c>
      <c r="AY102" s="3">
        <f t="shared" si="30"/>
        <v>0</v>
      </c>
      <c r="AZ102" s="3">
        <f t="shared" si="31"/>
        <v>0</v>
      </c>
      <c r="BA102" s="32">
        <f t="shared" si="32"/>
        <v>0</v>
      </c>
      <c r="BB102" s="2" t="str">
        <f t="shared" si="33"/>
        <v/>
      </c>
    </row>
    <row r="103" spans="1:54" ht="14.4">
      <c r="A103" s="13" t="s">
        <v>161</v>
      </c>
      <c r="B103" s="13"/>
      <c r="C103" s="14" t="str">
        <f>IFERROR(VLOOKUP($B103,'Cost Library'!$A$2:$M$159,2,FALSE),"")</f>
        <v/>
      </c>
      <c r="D103" s="14" t="str">
        <f>IFERROR(VLOOKUP($B103,'Cost Library'!$A$2:$M$159,3,FALSE),"")</f>
        <v/>
      </c>
      <c r="E103" s="13"/>
      <c r="F103" s="13"/>
      <c r="G103" s="13" t="str">
        <f>IFERROR(VLOOKUP($B103,'Cost Library'!$A$2:$M$159,5,FALSE),"")</f>
        <v/>
      </c>
      <c r="H103" s="13"/>
      <c r="I103" s="13"/>
      <c r="J103" s="13"/>
      <c r="K103" s="13"/>
      <c r="L103" s="13">
        <v>1</v>
      </c>
      <c r="M103" s="14" t="str">
        <f>IFERROR(VLOOKUP($B103,'Cost Library'!$A$2:$M$159,6,FALSE),"")</f>
        <v/>
      </c>
      <c r="N103" s="15">
        <f>IFERROR(VLOOKUP($B103,'Cost Library'!$A$2:$M$159,7,FALSE),0)</f>
        <v>0</v>
      </c>
      <c r="O103" s="15">
        <f>IFERROR(VLOOKUP($B103,'Cost Library'!$A$2:$M$159,8,FALSE),0)</f>
        <v>0</v>
      </c>
      <c r="P103" s="15">
        <f>IFERROR(VLOOKUP($B103,'Cost Library'!$A$2:$M$159,9,FALSE),0)</f>
        <v>0</v>
      </c>
      <c r="Q103" s="16"/>
      <c r="R103" s="16" t="s">
        <v>116</v>
      </c>
      <c r="S103" s="17">
        <f t="shared" si="17"/>
        <v>0</v>
      </c>
      <c r="T103" s="18">
        <f>'Project Inputs'!$C$15</f>
        <v>0.1</v>
      </c>
      <c r="U103" s="17">
        <f t="shared" si="18"/>
        <v>0</v>
      </c>
      <c r="V103" s="11" t="s">
        <v>247</v>
      </c>
      <c r="W103" s="14" t="str">
        <f>IFERROR(VLOOKUP($B103,'Cost Library'!$A$2:$M$159,10,FALSE),"")</f>
        <v/>
      </c>
      <c r="X103" s="11"/>
      <c r="Y103" s="11"/>
      <c r="Z103" s="11"/>
      <c r="AA103" s="11"/>
      <c r="AB103" s="11"/>
      <c r="AC103" s="11"/>
      <c r="AD103" s="30"/>
      <c r="AE103" s="31"/>
      <c r="AF103" s="3">
        <f t="shared" si="19"/>
        <v>0</v>
      </c>
      <c r="AG103" s="31"/>
      <c r="AH103" s="31"/>
      <c r="AI103" s="3">
        <f t="shared" si="20"/>
        <v>0</v>
      </c>
      <c r="AJ103" s="31"/>
      <c r="AK103" s="31"/>
      <c r="AL103" s="3">
        <f t="shared" si="21"/>
        <v>0</v>
      </c>
      <c r="AM103" s="3">
        <f>IF($A103&lt;&gt;"Yes",0,IF($R103="Detailed Breakdown",$AF103,$S103*IFERROR(VLOOKUP($B103,'Cost Library'!$A$2:$Q$159,14,FALSE),0.4)))</f>
        <v>0</v>
      </c>
      <c r="AN103" s="3">
        <f>IF($A103&lt;&gt;"Yes",0,IF($R103="Detailed Breakdown",$AI103,$S103*IFERROR(VLOOKUP($B103,'Cost Library'!$A$2:$Q$159,15,FALSE),0.5)))</f>
        <v>0</v>
      </c>
      <c r="AO103" s="3">
        <f>IF($A103&lt;&gt;"Yes",0,IF($R103="Detailed Breakdown",$AJ103+$AK103,$S103*IFERROR(VLOOKUP($B103,'Cost Library'!$A$2:$Q$159,16,FALSE),0.1)))</f>
        <v>0</v>
      </c>
      <c r="AP103" s="3">
        <f t="shared" si="22"/>
        <v>0</v>
      </c>
      <c r="AQ103" s="32">
        <f t="shared" si="23"/>
        <v>0</v>
      </c>
      <c r="AR103" s="32">
        <f t="shared" si="24"/>
        <v>0</v>
      </c>
      <c r="AS103" s="32">
        <f t="shared" si="25"/>
        <v>0</v>
      </c>
      <c r="AT103" s="2" t="str">
        <f t="shared" si="26"/>
        <v/>
      </c>
      <c r="AU103" s="31" t="s">
        <v>116</v>
      </c>
      <c r="AV103" s="3">
        <f t="shared" si="27"/>
        <v>0</v>
      </c>
      <c r="AW103" s="3">
        <f t="shared" si="28"/>
        <v>0</v>
      </c>
      <c r="AX103" s="3">
        <f t="shared" si="29"/>
        <v>0</v>
      </c>
      <c r="AY103" s="3">
        <f t="shared" si="30"/>
        <v>0</v>
      </c>
      <c r="AZ103" s="3">
        <f t="shared" si="31"/>
        <v>0</v>
      </c>
      <c r="BA103" s="32">
        <f t="shared" si="32"/>
        <v>0</v>
      </c>
      <c r="BB103" s="2" t="str">
        <f t="shared" si="33"/>
        <v/>
      </c>
    </row>
    <row r="104" spans="1:54" ht="14.4">
      <c r="A104" s="13" t="s">
        <v>161</v>
      </c>
      <c r="B104" s="13"/>
      <c r="C104" s="14" t="str">
        <f>IFERROR(VLOOKUP($B104,'Cost Library'!$A$2:$M$159,2,FALSE),"")</f>
        <v/>
      </c>
      <c r="D104" s="14" t="str">
        <f>IFERROR(VLOOKUP($B104,'Cost Library'!$A$2:$M$159,3,FALSE),"")</f>
        <v/>
      </c>
      <c r="E104" s="13"/>
      <c r="F104" s="13"/>
      <c r="G104" s="13" t="str">
        <f>IFERROR(VLOOKUP($B104,'Cost Library'!$A$2:$M$159,5,FALSE),"")</f>
        <v/>
      </c>
      <c r="H104" s="13"/>
      <c r="I104" s="13"/>
      <c r="J104" s="13"/>
      <c r="K104" s="13"/>
      <c r="L104" s="13">
        <v>1</v>
      </c>
      <c r="M104" s="14" t="str">
        <f>IFERROR(VLOOKUP($B104,'Cost Library'!$A$2:$M$159,6,FALSE),"")</f>
        <v/>
      </c>
      <c r="N104" s="15">
        <f>IFERROR(VLOOKUP($B104,'Cost Library'!$A$2:$M$159,7,FALSE),0)</f>
        <v>0</v>
      </c>
      <c r="O104" s="15">
        <f>IFERROR(VLOOKUP($B104,'Cost Library'!$A$2:$M$159,8,FALSE),0)</f>
        <v>0</v>
      </c>
      <c r="P104" s="15">
        <f>IFERROR(VLOOKUP($B104,'Cost Library'!$A$2:$M$159,9,FALSE),0)</f>
        <v>0</v>
      </c>
      <c r="Q104" s="16"/>
      <c r="R104" s="16" t="s">
        <v>116</v>
      </c>
      <c r="S104" s="17">
        <f t="shared" si="17"/>
        <v>0</v>
      </c>
      <c r="T104" s="18">
        <f>'Project Inputs'!$C$15</f>
        <v>0.1</v>
      </c>
      <c r="U104" s="17">
        <f t="shared" si="18"/>
        <v>0</v>
      </c>
      <c r="V104" s="11" t="s">
        <v>247</v>
      </c>
      <c r="W104" s="14" t="str">
        <f>IFERROR(VLOOKUP($B104,'Cost Library'!$A$2:$M$159,10,FALSE),"")</f>
        <v/>
      </c>
      <c r="X104" s="11"/>
      <c r="Y104" s="11"/>
      <c r="Z104" s="11"/>
      <c r="AA104" s="11"/>
      <c r="AB104" s="11"/>
      <c r="AC104" s="11"/>
      <c r="AD104" s="30"/>
      <c r="AE104" s="31"/>
      <c r="AF104" s="3">
        <f t="shared" si="19"/>
        <v>0</v>
      </c>
      <c r="AG104" s="31"/>
      <c r="AH104" s="31"/>
      <c r="AI104" s="3">
        <f t="shared" si="20"/>
        <v>0</v>
      </c>
      <c r="AJ104" s="31"/>
      <c r="AK104" s="31"/>
      <c r="AL104" s="3">
        <f t="shared" si="21"/>
        <v>0</v>
      </c>
      <c r="AM104" s="3">
        <f>IF($A104&lt;&gt;"Yes",0,IF($R104="Detailed Breakdown",$AF104,$S104*IFERROR(VLOOKUP($B104,'Cost Library'!$A$2:$Q$159,14,FALSE),0.4)))</f>
        <v>0</v>
      </c>
      <c r="AN104" s="3">
        <f>IF($A104&lt;&gt;"Yes",0,IF($R104="Detailed Breakdown",$AI104,$S104*IFERROR(VLOOKUP($B104,'Cost Library'!$A$2:$Q$159,15,FALSE),0.5)))</f>
        <v>0</v>
      </c>
      <c r="AO104" s="3">
        <f>IF($A104&lt;&gt;"Yes",0,IF($R104="Detailed Breakdown",$AJ104+$AK104,$S104*IFERROR(VLOOKUP($B104,'Cost Library'!$A$2:$Q$159,16,FALSE),0.1)))</f>
        <v>0</v>
      </c>
      <c r="AP104" s="3">
        <f t="shared" si="22"/>
        <v>0</v>
      </c>
      <c r="AQ104" s="32">
        <f t="shared" si="23"/>
        <v>0</v>
      </c>
      <c r="AR104" s="32">
        <f t="shared" si="24"/>
        <v>0</v>
      </c>
      <c r="AS104" s="32">
        <f t="shared" si="25"/>
        <v>0</v>
      </c>
      <c r="AT104" s="2" t="str">
        <f t="shared" si="26"/>
        <v/>
      </c>
      <c r="AU104" s="31" t="s">
        <v>116</v>
      </c>
      <c r="AV104" s="3">
        <f t="shared" si="27"/>
        <v>0</v>
      </c>
      <c r="AW104" s="3">
        <f t="shared" si="28"/>
        <v>0</v>
      </c>
      <c r="AX104" s="3">
        <f t="shared" si="29"/>
        <v>0</v>
      </c>
      <c r="AY104" s="3">
        <f t="shared" si="30"/>
        <v>0</v>
      </c>
      <c r="AZ104" s="3">
        <f t="shared" si="31"/>
        <v>0</v>
      </c>
      <c r="BA104" s="32">
        <f t="shared" si="32"/>
        <v>0</v>
      </c>
      <c r="BB104" s="2" t="str">
        <f t="shared" si="33"/>
        <v/>
      </c>
    </row>
    <row r="105" spans="1:54" ht="14.4">
      <c r="A105" s="13" t="s">
        <v>161</v>
      </c>
      <c r="B105" s="13"/>
      <c r="C105" s="14" t="str">
        <f>IFERROR(VLOOKUP($B105,'Cost Library'!$A$2:$M$159,2,FALSE),"")</f>
        <v/>
      </c>
      <c r="D105" s="14" t="str">
        <f>IFERROR(VLOOKUP($B105,'Cost Library'!$A$2:$M$159,3,FALSE),"")</f>
        <v/>
      </c>
      <c r="E105" s="13"/>
      <c r="F105" s="13"/>
      <c r="G105" s="13" t="str">
        <f>IFERROR(VLOOKUP($B105,'Cost Library'!$A$2:$M$159,5,FALSE),"")</f>
        <v/>
      </c>
      <c r="H105" s="13"/>
      <c r="I105" s="13"/>
      <c r="J105" s="13"/>
      <c r="K105" s="13"/>
      <c r="L105" s="13">
        <v>1</v>
      </c>
      <c r="M105" s="14" t="str">
        <f>IFERROR(VLOOKUP($B105,'Cost Library'!$A$2:$M$159,6,FALSE),"")</f>
        <v/>
      </c>
      <c r="N105" s="15">
        <f>IFERROR(VLOOKUP($B105,'Cost Library'!$A$2:$M$159,7,FALSE),0)</f>
        <v>0</v>
      </c>
      <c r="O105" s="15">
        <f>IFERROR(VLOOKUP($B105,'Cost Library'!$A$2:$M$159,8,FALSE),0)</f>
        <v>0</v>
      </c>
      <c r="P105" s="15">
        <f>IFERROR(VLOOKUP($B105,'Cost Library'!$A$2:$M$159,9,FALSE),0)</f>
        <v>0</v>
      </c>
      <c r="Q105" s="16"/>
      <c r="R105" s="16" t="s">
        <v>116</v>
      </c>
      <c r="S105" s="17">
        <f t="shared" si="17"/>
        <v>0</v>
      </c>
      <c r="T105" s="18">
        <f>'Project Inputs'!$C$15</f>
        <v>0.1</v>
      </c>
      <c r="U105" s="17">
        <f t="shared" si="18"/>
        <v>0</v>
      </c>
      <c r="V105" s="11" t="s">
        <v>247</v>
      </c>
      <c r="W105" s="14" t="str">
        <f>IFERROR(VLOOKUP($B105,'Cost Library'!$A$2:$M$159,10,FALSE),"")</f>
        <v/>
      </c>
      <c r="X105" s="11"/>
      <c r="Y105" s="11"/>
      <c r="Z105" s="11"/>
      <c r="AA105" s="11"/>
      <c r="AB105" s="11"/>
      <c r="AC105" s="11"/>
      <c r="AD105" s="30"/>
      <c r="AE105" s="31"/>
      <c r="AF105" s="3">
        <f t="shared" si="19"/>
        <v>0</v>
      </c>
      <c r="AG105" s="31"/>
      <c r="AH105" s="31"/>
      <c r="AI105" s="3">
        <f t="shared" si="20"/>
        <v>0</v>
      </c>
      <c r="AJ105" s="31"/>
      <c r="AK105" s="31"/>
      <c r="AL105" s="3">
        <f t="shared" si="21"/>
        <v>0</v>
      </c>
      <c r="AM105" s="3">
        <f>IF($A105&lt;&gt;"Yes",0,IF($R105="Detailed Breakdown",$AF105,$S105*IFERROR(VLOOKUP($B105,'Cost Library'!$A$2:$Q$159,14,FALSE),0.4)))</f>
        <v>0</v>
      </c>
      <c r="AN105" s="3">
        <f>IF($A105&lt;&gt;"Yes",0,IF($R105="Detailed Breakdown",$AI105,$S105*IFERROR(VLOOKUP($B105,'Cost Library'!$A$2:$Q$159,15,FALSE),0.5)))</f>
        <v>0</v>
      </c>
      <c r="AO105" s="3">
        <f>IF($A105&lt;&gt;"Yes",0,IF($R105="Detailed Breakdown",$AJ105+$AK105,$S105*IFERROR(VLOOKUP($B105,'Cost Library'!$A$2:$Q$159,16,FALSE),0.1)))</f>
        <v>0</v>
      </c>
      <c r="AP105" s="3">
        <f t="shared" si="22"/>
        <v>0</v>
      </c>
      <c r="AQ105" s="32">
        <f t="shared" si="23"/>
        <v>0</v>
      </c>
      <c r="AR105" s="32">
        <f t="shared" si="24"/>
        <v>0</v>
      </c>
      <c r="AS105" s="32">
        <f t="shared" si="25"/>
        <v>0</v>
      </c>
      <c r="AT105" s="2" t="str">
        <f t="shared" si="26"/>
        <v/>
      </c>
      <c r="AU105" s="31" t="s">
        <v>116</v>
      </c>
      <c r="AV105" s="3">
        <f t="shared" si="27"/>
        <v>0</v>
      </c>
      <c r="AW105" s="3">
        <f t="shared" si="28"/>
        <v>0</v>
      </c>
      <c r="AX105" s="3">
        <f t="shared" si="29"/>
        <v>0</v>
      </c>
      <c r="AY105" s="3">
        <f t="shared" si="30"/>
        <v>0</v>
      </c>
      <c r="AZ105" s="3">
        <f t="shared" si="31"/>
        <v>0</v>
      </c>
      <c r="BA105" s="32">
        <f t="shared" si="32"/>
        <v>0</v>
      </c>
      <c r="BB105" s="2" t="str">
        <f t="shared" si="33"/>
        <v/>
      </c>
    </row>
    <row r="106" spans="1:54" ht="14.4">
      <c r="A106" s="13" t="s">
        <v>161</v>
      </c>
      <c r="B106" s="13"/>
      <c r="C106" s="14" t="str">
        <f>IFERROR(VLOOKUP($B106,'Cost Library'!$A$2:$M$159,2,FALSE),"")</f>
        <v/>
      </c>
      <c r="D106" s="14" t="str">
        <f>IFERROR(VLOOKUP($B106,'Cost Library'!$A$2:$M$159,3,FALSE),"")</f>
        <v/>
      </c>
      <c r="E106" s="13"/>
      <c r="F106" s="13"/>
      <c r="G106" s="13" t="str">
        <f>IFERROR(VLOOKUP($B106,'Cost Library'!$A$2:$M$159,5,FALSE),"")</f>
        <v/>
      </c>
      <c r="H106" s="13"/>
      <c r="I106" s="13"/>
      <c r="J106" s="13"/>
      <c r="K106" s="13"/>
      <c r="L106" s="13">
        <v>1</v>
      </c>
      <c r="M106" s="14" t="str">
        <f>IFERROR(VLOOKUP($B106,'Cost Library'!$A$2:$M$159,6,FALSE),"")</f>
        <v/>
      </c>
      <c r="N106" s="15">
        <f>IFERROR(VLOOKUP($B106,'Cost Library'!$A$2:$M$159,7,FALSE),0)</f>
        <v>0</v>
      </c>
      <c r="O106" s="15">
        <f>IFERROR(VLOOKUP($B106,'Cost Library'!$A$2:$M$159,8,FALSE),0)</f>
        <v>0</v>
      </c>
      <c r="P106" s="15">
        <f>IFERROR(VLOOKUP($B106,'Cost Library'!$A$2:$M$159,9,FALSE),0)</f>
        <v>0</v>
      </c>
      <c r="Q106" s="16"/>
      <c r="R106" s="16" t="s">
        <v>116</v>
      </c>
      <c r="S106" s="17">
        <f t="shared" si="17"/>
        <v>0</v>
      </c>
      <c r="T106" s="18">
        <f>'Project Inputs'!$C$15</f>
        <v>0.1</v>
      </c>
      <c r="U106" s="17">
        <f t="shared" si="18"/>
        <v>0</v>
      </c>
      <c r="V106" s="11" t="s">
        <v>247</v>
      </c>
      <c r="W106" s="14" t="str">
        <f>IFERROR(VLOOKUP($B106,'Cost Library'!$A$2:$M$159,10,FALSE),"")</f>
        <v/>
      </c>
      <c r="X106" s="11"/>
      <c r="Y106" s="11"/>
      <c r="Z106" s="11"/>
      <c r="AA106" s="11"/>
      <c r="AB106" s="11"/>
      <c r="AC106" s="11"/>
      <c r="AD106" s="30"/>
      <c r="AE106" s="31"/>
      <c r="AF106" s="3">
        <f t="shared" si="19"/>
        <v>0</v>
      </c>
      <c r="AG106" s="31"/>
      <c r="AH106" s="31"/>
      <c r="AI106" s="3">
        <f t="shared" si="20"/>
        <v>0</v>
      </c>
      <c r="AJ106" s="31"/>
      <c r="AK106" s="31"/>
      <c r="AL106" s="3">
        <f t="shared" si="21"/>
        <v>0</v>
      </c>
      <c r="AM106" s="3">
        <f>IF($A106&lt;&gt;"Yes",0,IF($R106="Detailed Breakdown",$AF106,$S106*IFERROR(VLOOKUP($B106,'Cost Library'!$A$2:$Q$159,14,FALSE),0.4)))</f>
        <v>0</v>
      </c>
      <c r="AN106" s="3">
        <f>IF($A106&lt;&gt;"Yes",0,IF($R106="Detailed Breakdown",$AI106,$S106*IFERROR(VLOOKUP($B106,'Cost Library'!$A$2:$Q$159,15,FALSE),0.5)))</f>
        <v>0</v>
      </c>
      <c r="AO106" s="3">
        <f>IF($A106&lt;&gt;"Yes",0,IF($R106="Detailed Breakdown",$AJ106+$AK106,$S106*IFERROR(VLOOKUP($B106,'Cost Library'!$A$2:$Q$159,16,FALSE),0.1)))</f>
        <v>0</v>
      </c>
      <c r="AP106" s="3">
        <f t="shared" si="22"/>
        <v>0</v>
      </c>
      <c r="AQ106" s="32">
        <f t="shared" si="23"/>
        <v>0</v>
      </c>
      <c r="AR106" s="32">
        <f t="shared" si="24"/>
        <v>0</v>
      </c>
      <c r="AS106" s="32">
        <f t="shared" si="25"/>
        <v>0</v>
      </c>
      <c r="AT106" s="2" t="str">
        <f t="shared" si="26"/>
        <v/>
      </c>
      <c r="AU106" s="31" t="s">
        <v>116</v>
      </c>
      <c r="AV106" s="3">
        <f t="shared" si="27"/>
        <v>0</v>
      </c>
      <c r="AW106" s="3">
        <f t="shared" si="28"/>
        <v>0</v>
      </c>
      <c r="AX106" s="3">
        <f t="shared" si="29"/>
        <v>0</v>
      </c>
      <c r="AY106" s="3">
        <f t="shared" si="30"/>
        <v>0</v>
      </c>
      <c r="AZ106" s="3">
        <f t="shared" si="31"/>
        <v>0</v>
      </c>
      <c r="BA106" s="32">
        <f t="shared" si="32"/>
        <v>0</v>
      </c>
      <c r="BB106" s="2" t="str">
        <f t="shared" si="33"/>
        <v/>
      </c>
    </row>
    <row r="107" spans="1:54" ht="14.4">
      <c r="A107" s="13" t="s">
        <v>161</v>
      </c>
      <c r="B107" s="13"/>
      <c r="C107" s="14" t="str">
        <f>IFERROR(VLOOKUP($B107,'Cost Library'!$A$2:$M$159,2,FALSE),"")</f>
        <v/>
      </c>
      <c r="D107" s="14" t="str">
        <f>IFERROR(VLOOKUP($B107,'Cost Library'!$A$2:$M$159,3,FALSE),"")</f>
        <v/>
      </c>
      <c r="E107" s="13"/>
      <c r="F107" s="13"/>
      <c r="G107" s="13" t="str">
        <f>IFERROR(VLOOKUP($B107,'Cost Library'!$A$2:$M$159,5,FALSE),"")</f>
        <v/>
      </c>
      <c r="H107" s="13"/>
      <c r="I107" s="13"/>
      <c r="J107" s="13"/>
      <c r="K107" s="13"/>
      <c r="L107" s="13">
        <v>1</v>
      </c>
      <c r="M107" s="14" t="str">
        <f>IFERROR(VLOOKUP($B107,'Cost Library'!$A$2:$M$159,6,FALSE),"")</f>
        <v/>
      </c>
      <c r="N107" s="15">
        <f>IFERROR(VLOOKUP($B107,'Cost Library'!$A$2:$M$159,7,FALSE),0)</f>
        <v>0</v>
      </c>
      <c r="O107" s="15">
        <f>IFERROR(VLOOKUP($B107,'Cost Library'!$A$2:$M$159,8,FALSE),0)</f>
        <v>0</v>
      </c>
      <c r="P107" s="15">
        <f>IFERROR(VLOOKUP($B107,'Cost Library'!$A$2:$M$159,9,FALSE),0)</f>
        <v>0</v>
      </c>
      <c r="Q107" s="16"/>
      <c r="R107" s="16" t="s">
        <v>116</v>
      </c>
      <c r="S107" s="17">
        <f t="shared" si="17"/>
        <v>0</v>
      </c>
      <c r="T107" s="18">
        <f>'Project Inputs'!$C$15</f>
        <v>0.1</v>
      </c>
      <c r="U107" s="17">
        <f t="shared" si="18"/>
        <v>0</v>
      </c>
      <c r="V107" s="11" t="s">
        <v>247</v>
      </c>
      <c r="W107" s="14" t="str">
        <f>IFERROR(VLOOKUP($B107,'Cost Library'!$A$2:$M$159,10,FALSE),"")</f>
        <v/>
      </c>
      <c r="X107" s="11"/>
      <c r="Y107" s="11"/>
      <c r="Z107" s="11"/>
      <c r="AA107" s="11"/>
      <c r="AB107" s="11"/>
      <c r="AC107" s="11"/>
      <c r="AD107" s="30"/>
      <c r="AE107" s="31"/>
      <c r="AF107" s="3">
        <f t="shared" si="19"/>
        <v>0</v>
      </c>
      <c r="AG107" s="31"/>
      <c r="AH107" s="31"/>
      <c r="AI107" s="3">
        <f t="shared" si="20"/>
        <v>0</v>
      </c>
      <c r="AJ107" s="31"/>
      <c r="AK107" s="31"/>
      <c r="AL107" s="3">
        <f t="shared" si="21"/>
        <v>0</v>
      </c>
      <c r="AM107" s="3">
        <f>IF($A107&lt;&gt;"Yes",0,IF($R107="Detailed Breakdown",$AF107,$S107*IFERROR(VLOOKUP($B107,'Cost Library'!$A$2:$Q$159,14,FALSE),0.4)))</f>
        <v>0</v>
      </c>
      <c r="AN107" s="3">
        <f>IF($A107&lt;&gt;"Yes",0,IF($R107="Detailed Breakdown",$AI107,$S107*IFERROR(VLOOKUP($B107,'Cost Library'!$A$2:$Q$159,15,FALSE),0.5)))</f>
        <v>0</v>
      </c>
      <c r="AO107" s="3">
        <f>IF($A107&lt;&gt;"Yes",0,IF($R107="Detailed Breakdown",$AJ107+$AK107,$S107*IFERROR(VLOOKUP($B107,'Cost Library'!$A$2:$Q$159,16,FALSE),0.1)))</f>
        <v>0</v>
      </c>
      <c r="AP107" s="3">
        <f t="shared" si="22"/>
        <v>0</v>
      </c>
      <c r="AQ107" s="32">
        <f t="shared" si="23"/>
        <v>0</v>
      </c>
      <c r="AR107" s="32">
        <f t="shared" si="24"/>
        <v>0</v>
      </c>
      <c r="AS107" s="32">
        <f t="shared" si="25"/>
        <v>0</v>
      </c>
      <c r="AT107" s="2" t="str">
        <f t="shared" si="26"/>
        <v/>
      </c>
      <c r="AU107" s="31" t="s">
        <v>116</v>
      </c>
      <c r="AV107" s="3">
        <f t="shared" si="27"/>
        <v>0</v>
      </c>
      <c r="AW107" s="3">
        <f t="shared" si="28"/>
        <v>0</v>
      </c>
      <c r="AX107" s="3">
        <f t="shared" si="29"/>
        <v>0</v>
      </c>
      <c r="AY107" s="3">
        <f t="shared" si="30"/>
        <v>0</v>
      </c>
      <c r="AZ107" s="3">
        <f t="shared" si="31"/>
        <v>0</v>
      </c>
      <c r="BA107" s="32">
        <f t="shared" si="32"/>
        <v>0</v>
      </c>
      <c r="BB107" s="2" t="str">
        <f t="shared" si="33"/>
        <v/>
      </c>
    </row>
    <row r="108" spans="1:54" ht="14.4">
      <c r="A108" s="13" t="s">
        <v>161</v>
      </c>
      <c r="B108" s="13"/>
      <c r="C108" s="14" t="str">
        <f>IFERROR(VLOOKUP($B108,'Cost Library'!$A$2:$M$159,2,FALSE),"")</f>
        <v/>
      </c>
      <c r="D108" s="14" t="str">
        <f>IFERROR(VLOOKUP($B108,'Cost Library'!$A$2:$M$159,3,FALSE),"")</f>
        <v/>
      </c>
      <c r="E108" s="13"/>
      <c r="F108" s="13"/>
      <c r="G108" s="13" t="str">
        <f>IFERROR(VLOOKUP($B108,'Cost Library'!$A$2:$M$159,5,FALSE),"")</f>
        <v/>
      </c>
      <c r="H108" s="13"/>
      <c r="I108" s="13"/>
      <c r="J108" s="13"/>
      <c r="K108" s="13"/>
      <c r="L108" s="13">
        <v>1</v>
      </c>
      <c r="M108" s="14" t="str">
        <f>IFERROR(VLOOKUP($B108,'Cost Library'!$A$2:$M$159,6,FALSE),"")</f>
        <v/>
      </c>
      <c r="N108" s="15">
        <f>IFERROR(VLOOKUP($B108,'Cost Library'!$A$2:$M$159,7,FALSE),0)</f>
        <v>0</v>
      </c>
      <c r="O108" s="15">
        <f>IFERROR(VLOOKUP($B108,'Cost Library'!$A$2:$M$159,8,FALSE),0)</f>
        <v>0</v>
      </c>
      <c r="P108" s="15">
        <f>IFERROR(VLOOKUP($B108,'Cost Library'!$A$2:$M$159,9,FALSE),0)</f>
        <v>0</v>
      </c>
      <c r="Q108" s="16"/>
      <c r="R108" s="16" t="s">
        <v>116</v>
      </c>
      <c r="S108" s="17">
        <f t="shared" si="17"/>
        <v>0</v>
      </c>
      <c r="T108" s="18">
        <f>'Project Inputs'!$C$15</f>
        <v>0.1</v>
      </c>
      <c r="U108" s="17">
        <f t="shared" si="18"/>
        <v>0</v>
      </c>
      <c r="V108" s="11" t="s">
        <v>247</v>
      </c>
      <c r="W108" s="14" t="str">
        <f>IFERROR(VLOOKUP($B108,'Cost Library'!$A$2:$M$159,10,FALSE),"")</f>
        <v/>
      </c>
      <c r="X108" s="11"/>
      <c r="Y108" s="11"/>
      <c r="Z108" s="11"/>
      <c r="AA108" s="11"/>
      <c r="AB108" s="11"/>
      <c r="AC108" s="11"/>
      <c r="AD108" s="30"/>
      <c r="AE108" s="31"/>
      <c r="AF108" s="3">
        <f t="shared" si="19"/>
        <v>0</v>
      </c>
      <c r="AG108" s="31"/>
      <c r="AH108" s="31"/>
      <c r="AI108" s="3">
        <f t="shared" si="20"/>
        <v>0</v>
      </c>
      <c r="AJ108" s="31"/>
      <c r="AK108" s="31"/>
      <c r="AL108" s="3">
        <f t="shared" si="21"/>
        <v>0</v>
      </c>
      <c r="AM108" s="3">
        <f>IF($A108&lt;&gt;"Yes",0,IF($R108="Detailed Breakdown",$AF108,$S108*IFERROR(VLOOKUP($B108,'Cost Library'!$A$2:$Q$159,14,FALSE),0.4)))</f>
        <v>0</v>
      </c>
      <c r="AN108" s="3">
        <f>IF($A108&lt;&gt;"Yes",0,IF($R108="Detailed Breakdown",$AI108,$S108*IFERROR(VLOOKUP($B108,'Cost Library'!$A$2:$Q$159,15,FALSE),0.5)))</f>
        <v>0</v>
      </c>
      <c r="AO108" s="3">
        <f>IF($A108&lt;&gt;"Yes",0,IF($R108="Detailed Breakdown",$AJ108+$AK108,$S108*IFERROR(VLOOKUP($B108,'Cost Library'!$A$2:$Q$159,16,FALSE),0.1)))</f>
        <v>0</v>
      </c>
      <c r="AP108" s="3">
        <f t="shared" si="22"/>
        <v>0</v>
      </c>
      <c r="AQ108" s="32">
        <f t="shared" si="23"/>
        <v>0</v>
      </c>
      <c r="AR108" s="32">
        <f t="shared" si="24"/>
        <v>0</v>
      </c>
      <c r="AS108" s="32">
        <f t="shared" si="25"/>
        <v>0</v>
      </c>
      <c r="AT108" s="2" t="str">
        <f t="shared" si="26"/>
        <v/>
      </c>
      <c r="AU108" s="31" t="s">
        <v>116</v>
      </c>
      <c r="AV108" s="3">
        <f t="shared" si="27"/>
        <v>0</v>
      </c>
      <c r="AW108" s="3">
        <f t="shared" si="28"/>
        <v>0</v>
      </c>
      <c r="AX108" s="3">
        <f t="shared" si="29"/>
        <v>0</v>
      </c>
      <c r="AY108" s="3">
        <f t="shared" si="30"/>
        <v>0</v>
      </c>
      <c r="AZ108" s="3">
        <f t="shared" si="31"/>
        <v>0</v>
      </c>
      <c r="BA108" s="32">
        <f t="shared" si="32"/>
        <v>0</v>
      </c>
      <c r="BB108" s="2" t="str">
        <f t="shared" si="33"/>
        <v/>
      </c>
    </row>
    <row r="109" spans="1:54" ht="14.4">
      <c r="A109" s="13" t="s">
        <v>161</v>
      </c>
      <c r="B109" s="13"/>
      <c r="C109" s="14" t="str">
        <f>IFERROR(VLOOKUP($B109,'Cost Library'!$A$2:$M$159,2,FALSE),"")</f>
        <v/>
      </c>
      <c r="D109" s="14" t="str">
        <f>IFERROR(VLOOKUP($B109,'Cost Library'!$A$2:$M$159,3,FALSE),"")</f>
        <v/>
      </c>
      <c r="E109" s="13"/>
      <c r="F109" s="13"/>
      <c r="G109" s="13" t="str">
        <f>IFERROR(VLOOKUP($B109,'Cost Library'!$A$2:$M$159,5,FALSE),"")</f>
        <v/>
      </c>
      <c r="H109" s="13"/>
      <c r="I109" s="13"/>
      <c r="J109" s="13"/>
      <c r="K109" s="13"/>
      <c r="L109" s="13">
        <v>1</v>
      </c>
      <c r="M109" s="14" t="str">
        <f>IFERROR(VLOOKUP($B109,'Cost Library'!$A$2:$M$159,6,FALSE),"")</f>
        <v/>
      </c>
      <c r="N109" s="15">
        <f>IFERROR(VLOOKUP($B109,'Cost Library'!$A$2:$M$159,7,FALSE),0)</f>
        <v>0</v>
      </c>
      <c r="O109" s="15">
        <f>IFERROR(VLOOKUP($B109,'Cost Library'!$A$2:$M$159,8,FALSE),0)</f>
        <v>0</v>
      </c>
      <c r="P109" s="15">
        <f>IFERROR(VLOOKUP($B109,'Cost Library'!$A$2:$M$159,9,FALSE),0)</f>
        <v>0</v>
      </c>
      <c r="Q109" s="16"/>
      <c r="R109" s="16" t="s">
        <v>116</v>
      </c>
      <c r="S109" s="17">
        <f t="shared" si="17"/>
        <v>0</v>
      </c>
      <c r="T109" s="18">
        <f>'Project Inputs'!$C$15</f>
        <v>0.1</v>
      </c>
      <c r="U109" s="17">
        <f t="shared" si="18"/>
        <v>0</v>
      </c>
      <c r="V109" s="11" t="s">
        <v>247</v>
      </c>
      <c r="W109" s="14" t="str">
        <f>IFERROR(VLOOKUP($B109,'Cost Library'!$A$2:$M$159,10,FALSE),"")</f>
        <v/>
      </c>
      <c r="X109" s="11"/>
      <c r="Y109" s="11"/>
      <c r="Z109" s="11"/>
      <c r="AA109" s="11"/>
      <c r="AB109" s="11"/>
      <c r="AC109" s="11"/>
      <c r="AD109" s="30"/>
      <c r="AE109" s="31"/>
      <c r="AF109" s="3">
        <f t="shared" si="19"/>
        <v>0</v>
      </c>
      <c r="AG109" s="31"/>
      <c r="AH109" s="31"/>
      <c r="AI109" s="3">
        <f t="shared" si="20"/>
        <v>0</v>
      </c>
      <c r="AJ109" s="31"/>
      <c r="AK109" s="31"/>
      <c r="AL109" s="3">
        <f t="shared" si="21"/>
        <v>0</v>
      </c>
      <c r="AM109" s="3">
        <f>IF($A109&lt;&gt;"Yes",0,IF($R109="Detailed Breakdown",$AF109,$S109*IFERROR(VLOOKUP($B109,'Cost Library'!$A$2:$Q$159,14,FALSE),0.4)))</f>
        <v>0</v>
      </c>
      <c r="AN109" s="3">
        <f>IF($A109&lt;&gt;"Yes",0,IF($R109="Detailed Breakdown",$AI109,$S109*IFERROR(VLOOKUP($B109,'Cost Library'!$A$2:$Q$159,15,FALSE),0.5)))</f>
        <v>0</v>
      </c>
      <c r="AO109" s="3">
        <f>IF($A109&lt;&gt;"Yes",0,IF($R109="Detailed Breakdown",$AJ109+$AK109,$S109*IFERROR(VLOOKUP($B109,'Cost Library'!$A$2:$Q$159,16,FALSE),0.1)))</f>
        <v>0</v>
      </c>
      <c r="AP109" s="3">
        <f t="shared" si="22"/>
        <v>0</v>
      </c>
      <c r="AQ109" s="32">
        <f t="shared" si="23"/>
        <v>0</v>
      </c>
      <c r="AR109" s="32">
        <f t="shared" si="24"/>
        <v>0</v>
      </c>
      <c r="AS109" s="32">
        <f t="shared" si="25"/>
        <v>0</v>
      </c>
      <c r="AT109" s="2" t="str">
        <f t="shared" si="26"/>
        <v/>
      </c>
      <c r="AU109" s="31" t="s">
        <v>116</v>
      </c>
      <c r="AV109" s="3">
        <f t="shared" si="27"/>
        <v>0</v>
      </c>
      <c r="AW109" s="3">
        <f t="shared" si="28"/>
        <v>0</v>
      </c>
      <c r="AX109" s="3">
        <f t="shared" si="29"/>
        <v>0</v>
      </c>
      <c r="AY109" s="3">
        <f t="shared" si="30"/>
        <v>0</v>
      </c>
      <c r="AZ109" s="3">
        <f t="shared" si="31"/>
        <v>0</v>
      </c>
      <c r="BA109" s="32">
        <f t="shared" si="32"/>
        <v>0</v>
      </c>
      <c r="BB109" s="2" t="str">
        <f t="shared" si="33"/>
        <v/>
      </c>
    </row>
    <row r="110" spans="1:54" ht="14.4">
      <c r="A110" s="13" t="s">
        <v>161</v>
      </c>
      <c r="B110" s="13"/>
      <c r="C110" s="14" t="str">
        <f>IFERROR(VLOOKUP($B110,'Cost Library'!$A$2:$M$159,2,FALSE),"")</f>
        <v/>
      </c>
      <c r="D110" s="14" t="str">
        <f>IFERROR(VLOOKUP($B110,'Cost Library'!$A$2:$M$159,3,FALSE),"")</f>
        <v/>
      </c>
      <c r="E110" s="13"/>
      <c r="F110" s="13"/>
      <c r="G110" s="13" t="str">
        <f>IFERROR(VLOOKUP($B110,'Cost Library'!$A$2:$M$159,5,FALSE),"")</f>
        <v/>
      </c>
      <c r="H110" s="13"/>
      <c r="I110" s="13"/>
      <c r="J110" s="13"/>
      <c r="K110" s="13"/>
      <c r="L110" s="13">
        <v>1</v>
      </c>
      <c r="M110" s="14" t="str">
        <f>IFERROR(VLOOKUP($B110,'Cost Library'!$A$2:$M$159,6,FALSE),"")</f>
        <v/>
      </c>
      <c r="N110" s="15">
        <f>IFERROR(VLOOKUP($B110,'Cost Library'!$A$2:$M$159,7,FALSE),0)</f>
        <v>0</v>
      </c>
      <c r="O110" s="15">
        <f>IFERROR(VLOOKUP($B110,'Cost Library'!$A$2:$M$159,8,FALSE),0)</f>
        <v>0</v>
      </c>
      <c r="P110" s="15">
        <f>IFERROR(VLOOKUP($B110,'Cost Library'!$A$2:$M$159,9,FALSE),0)</f>
        <v>0</v>
      </c>
      <c r="Q110" s="16"/>
      <c r="R110" s="16" t="s">
        <v>116</v>
      </c>
      <c r="S110" s="17">
        <f t="shared" si="17"/>
        <v>0</v>
      </c>
      <c r="T110" s="18">
        <f>'Project Inputs'!$C$15</f>
        <v>0.1</v>
      </c>
      <c r="U110" s="17">
        <f t="shared" si="18"/>
        <v>0</v>
      </c>
      <c r="V110" s="11" t="s">
        <v>247</v>
      </c>
      <c r="W110" s="14" t="str">
        <f>IFERROR(VLOOKUP($B110,'Cost Library'!$A$2:$M$159,10,FALSE),"")</f>
        <v/>
      </c>
      <c r="X110" s="11"/>
      <c r="Y110" s="11"/>
      <c r="Z110" s="11"/>
      <c r="AA110" s="11"/>
      <c r="AB110" s="11"/>
      <c r="AC110" s="11"/>
      <c r="AD110" s="30"/>
      <c r="AE110" s="31"/>
      <c r="AF110" s="3">
        <f t="shared" si="19"/>
        <v>0</v>
      </c>
      <c r="AG110" s="31"/>
      <c r="AH110" s="31"/>
      <c r="AI110" s="3">
        <f t="shared" si="20"/>
        <v>0</v>
      </c>
      <c r="AJ110" s="31"/>
      <c r="AK110" s="31"/>
      <c r="AL110" s="3">
        <f t="shared" si="21"/>
        <v>0</v>
      </c>
      <c r="AM110" s="3">
        <f>IF($A110&lt;&gt;"Yes",0,IF($R110="Detailed Breakdown",$AF110,$S110*IFERROR(VLOOKUP($B110,'Cost Library'!$A$2:$Q$159,14,FALSE),0.4)))</f>
        <v>0</v>
      </c>
      <c r="AN110" s="3">
        <f>IF($A110&lt;&gt;"Yes",0,IF($R110="Detailed Breakdown",$AI110,$S110*IFERROR(VLOOKUP($B110,'Cost Library'!$A$2:$Q$159,15,FALSE),0.5)))</f>
        <v>0</v>
      </c>
      <c r="AO110" s="3">
        <f>IF($A110&lt;&gt;"Yes",0,IF($R110="Detailed Breakdown",$AJ110+$AK110,$S110*IFERROR(VLOOKUP($B110,'Cost Library'!$A$2:$Q$159,16,FALSE),0.1)))</f>
        <v>0</v>
      </c>
      <c r="AP110" s="3">
        <f t="shared" si="22"/>
        <v>0</v>
      </c>
      <c r="AQ110" s="32">
        <f t="shared" si="23"/>
        <v>0</v>
      </c>
      <c r="AR110" s="32">
        <f t="shared" si="24"/>
        <v>0</v>
      </c>
      <c r="AS110" s="32">
        <f t="shared" si="25"/>
        <v>0</v>
      </c>
      <c r="AT110" s="2" t="str">
        <f t="shared" si="26"/>
        <v/>
      </c>
      <c r="AU110" s="31" t="s">
        <v>116</v>
      </c>
      <c r="AV110" s="3">
        <f t="shared" si="27"/>
        <v>0</v>
      </c>
      <c r="AW110" s="3">
        <f t="shared" si="28"/>
        <v>0</v>
      </c>
      <c r="AX110" s="3">
        <f t="shared" si="29"/>
        <v>0</v>
      </c>
      <c r="AY110" s="3">
        <f t="shared" si="30"/>
        <v>0</v>
      </c>
      <c r="AZ110" s="3">
        <f t="shared" si="31"/>
        <v>0</v>
      </c>
      <c r="BA110" s="32">
        <f t="shared" si="32"/>
        <v>0</v>
      </c>
      <c r="BB110" s="2" t="str">
        <f t="shared" si="33"/>
        <v/>
      </c>
    </row>
    <row r="111" spans="1:54" ht="14.4">
      <c r="A111" s="13" t="s">
        <v>161</v>
      </c>
      <c r="B111" s="13"/>
      <c r="C111" s="14" t="str">
        <f>IFERROR(VLOOKUP($B111,'Cost Library'!$A$2:$M$159,2,FALSE),"")</f>
        <v/>
      </c>
      <c r="D111" s="14" t="str">
        <f>IFERROR(VLOOKUP($B111,'Cost Library'!$A$2:$M$159,3,FALSE),"")</f>
        <v/>
      </c>
      <c r="E111" s="13"/>
      <c r="F111" s="13"/>
      <c r="G111" s="13" t="str">
        <f>IFERROR(VLOOKUP($B111,'Cost Library'!$A$2:$M$159,5,FALSE),"")</f>
        <v/>
      </c>
      <c r="H111" s="13"/>
      <c r="I111" s="13"/>
      <c r="J111" s="13"/>
      <c r="K111" s="13"/>
      <c r="L111" s="13">
        <v>1</v>
      </c>
      <c r="M111" s="14" t="str">
        <f>IFERROR(VLOOKUP($B111,'Cost Library'!$A$2:$M$159,6,FALSE),"")</f>
        <v/>
      </c>
      <c r="N111" s="15">
        <f>IFERROR(VLOOKUP($B111,'Cost Library'!$A$2:$M$159,7,FALSE),0)</f>
        <v>0</v>
      </c>
      <c r="O111" s="15">
        <f>IFERROR(VLOOKUP($B111,'Cost Library'!$A$2:$M$159,8,FALSE),0)</f>
        <v>0</v>
      </c>
      <c r="P111" s="15">
        <f>IFERROR(VLOOKUP($B111,'Cost Library'!$A$2:$M$159,9,FALSE),0)</f>
        <v>0</v>
      </c>
      <c r="Q111" s="16"/>
      <c r="R111" s="16" t="s">
        <v>116</v>
      </c>
      <c r="S111" s="17">
        <f t="shared" si="17"/>
        <v>0</v>
      </c>
      <c r="T111" s="18">
        <f>'Project Inputs'!$C$15</f>
        <v>0.1</v>
      </c>
      <c r="U111" s="17">
        <f t="shared" si="18"/>
        <v>0</v>
      </c>
      <c r="V111" s="11" t="s">
        <v>247</v>
      </c>
      <c r="W111" s="14" t="str">
        <f>IFERROR(VLOOKUP($B111,'Cost Library'!$A$2:$M$159,10,FALSE),"")</f>
        <v/>
      </c>
      <c r="X111" s="11"/>
      <c r="Y111" s="11"/>
      <c r="Z111" s="11"/>
      <c r="AA111" s="11"/>
      <c r="AB111" s="11"/>
      <c r="AC111" s="11"/>
      <c r="AD111" s="30"/>
      <c r="AE111" s="31"/>
      <c r="AF111" s="3">
        <f t="shared" si="19"/>
        <v>0</v>
      </c>
      <c r="AG111" s="31"/>
      <c r="AH111" s="31"/>
      <c r="AI111" s="3">
        <f t="shared" si="20"/>
        <v>0</v>
      </c>
      <c r="AJ111" s="31"/>
      <c r="AK111" s="31"/>
      <c r="AL111" s="3">
        <f t="shared" si="21"/>
        <v>0</v>
      </c>
      <c r="AM111" s="3">
        <f>IF($A111&lt;&gt;"Yes",0,IF($R111="Detailed Breakdown",$AF111,$S111*IFERROR(VLOOKUP($B111,'Cost Library'!$A$2:$Q$159,14,FALSE),0.4)))</f>
        <v>0</v>
      </c>
      <c r="AN111" s="3">
        <f>IF($A111&lt;&gt;"Yes",0,IF($R111="Detailed Breakdown",$AI111,$S111*IFERROR(VLOOKUP($B111,'Cost Library'!$A$2:$Q$159,15,FALSE),0.5)))</f>
        <v>0</v>
      </c>
      <c r="AO111" s="3">
        <f>IF($A111&lt;&gt;"Yes",0,IF($R111="Detailed Breakdown",$AJ111+$AK111,$S111*IFERROR(VLOOKUP($B111,'Cost Library'!$A$2:$Q$159,16,FALSE),0.1)))</f>
        <v>0</v>
      </c>
      <c r="AP111" s="3">
        <f t="shared" si="22"/>
        <v>0</v>
      </c>
      <c r="AQ111" s="32">
        <f t="shared" si="23"/>
        <v>0</v>
      </c>
      <c r="AR111" s="32">
        <f t="shared" si="24"/>
        <v>0</v>
      </c>
      <c r="AS111" s="32">
        <f t="shared" si="25"/>
        <v>0</v>
      </c>
      <c r="AT111" s="2" t="str">
        <f t="shared" si="26"/>
        <v/>
      </c>
      <c r="AU111" s="31" t="s">
        <v>116</v>
      </c>
      <c r="AV111" s="3">
        <f t="shared" si="27"/>
        <v>0</v>
      </c>
      <c r="AW111" s="3">
        <f t="shared" si="28"/>
        <v>0</v>
      </c>
      <c r="AX111" s="3">
        <f t="shared" si="29"/>
        <v>0</v>
      </c>
      <c r="AY111" s="3">
        <f t="shared" si="30"/>
        <v>0</v>
      </c>
      <c r="AZ111" s="3">
        <f t="shared" si="31"/>
        <v>0</v>
      </c>
      <c r="BA111" s="32">
        <f t="shared" si="32"/>
        <v>0</v>
      </c>
      <c r="BB111" s="2" t="str">
        <f t="shared" si="33"/>
        <v/>
      </c>
    </row>
    <row r="112" spans="1:54" ht="14.4">
      <c r="A112" s="13" t="s">
        <v>161</v>
      </c>
      <c r="B112" s="13"/>
      <c r="C112" s="14" t="str">
        <f>IFERROR(VLOOKUP($B112,'Cost Library'!$A$2:$M$159,2,FALSE),"")</f>
        <v/>
      </c>
      <c r="D112" s="14" t="str">
        <f>IFERROR(VLOOKUP($B112,'Cost Library'!$A$2:$M$159,3,FALSE),"")</f>
        <v/>
      </c>
      <c r="E112" s="13"/>
      <c r="F112" s="13"/>
      <c r="G112" s="13" t="str">
        <f>IFERROR(VLOOKUP($B112,'Cost Library'!$A$2:$M$159,5,FALSE),"")</f>
        <v/>
      </c>
      <c r="H112" s="13"/>
      <c r="I112" s="13"/>
      <c r="J112" s="13"/>
      <c r="K112" s="13"/>
      <c r="L112" s="13">
        <v>1</v>
      </c>
      <c r="M112" s="14" t="str">
        <f>IFERROR(VLOOKUP($B112,'Cost Library'!$A$2:$M$159,6,FALSE),"")</f>
        <v/>
      </c>
      <c r="N112" s="15">
        <f>IFERROR(VLOOKUP($B112,'Cost Library'!$A$2:$M$159,7,FALSE),0)</f>
        <v>0</v>
      </c>
      <c r="O112" s="15">
        <f>IFERROR(VLOOKUP($B112,'Cost Library'!$A$2:$M$159,8,FALSE),0)</f>
        <v>0</v>
      </c>
      <c r="P112" s="15">
        <f>IFERROR(VLOOKUP($B112,'Cost Library'!$A$2:$M$159,9,FALSE),0)</f>
        <v>0</v>
      </c>
      <c r="Q112" s="16"/>
      <c r="R112" s="16" t="s">
        <v>116</v>
      </c>
      <c r="S112" s="17">
        <f t="shared" si="17"/>
        <v>0</v>
      </c>
      <c r="T112" s="18">
        <f>'Project Inputs'!$C$15</f>
        <v>0.1</v>
      </c>
      <c r="U112" s="17">
        <f t="shared" si="18"/>
        <v>0</v>
      </c>
      <c r="V112" s="11" t="s">
        <v>247</v>
      </c>
      <c r="W112" s="14" t="str">
        <f>IFERROR(VLOOKUP($B112,'Cost Library'!$A$2:$M$159,10,FALSE),"")</f>
        <v/>
      </c>
      <c r="X112" s="11"/>
      <c r="Y112" s="11"/>
      <c r="Z112" s="11"/>
      <c r="AA112" s="11"/>
      <c r="AB112" s="11"/>
      <c r="AC112" s="11"/>
      <c r="AD112" s="30"/>
      <c r="AE112" s="31"/>
      <c r="AF112" s="3">
        <f t="shared" si="19"/>
        <v>0</v>
      </c>
      <c r="AG112" s="31"/>
      <c r="AH112" s="31"/>
      <c r="AI112" s="3">
        <f t="shared" si="20"/>
        <v>0</v>
      </c>
      <c r="AJ112" s="31"/>
      <c r="AK112" s="31"/>
      <c r="AL112" s="3">
        <f t="shared" si="21"/>
        <v>0</v>
      </c>
      <c r="AM112" s="3">
        <f>IF($A112&lt;&gt;"Yes",0,IF($R112="Detailed Breakdown",$AF112,$S112*IFERROR(VLOOKUP($B112,'Cost Library'!$A$2:$Q$159,14,FALSE),0.4)))</f>
        <v>0</v>
      </c>
      <c r="AN112" s="3">
        <f>IF($A112&lt;&gt;"Yes",0,IF($R112="Detailed Breakdown",$AI112,$S112*IFERROR(VLOOKUP($B112,'Cost Library'!$A$2:$Q$159,15,FALSE),0.5)))</f>
        <v>0</v>
      </c>
      <c r="AO112" s="3">
        <f>IF($A112&lt;&gt;"Yes",0,IF($R112="Detailed Breakdown",$AJ112+$AK112,$S112*IFERROR(VLOOKUP($B112,'Cost Library'!$A$2:$Q$159,16,FALSE),0.1)))</f>
        <v>0</v>
      </c>
      <c r="AP112" s="3">
        <f t="shared" si="22"/>
        <v>0</v>
      </c>
      <c r="AQ112" s="32">
        <f t="shared" si="23"/>
        <v>0</v>
      </c>
      <c r="AR112" s="32">
        <f t="shared" si="24"/>
        <v>0</v>
      </c>
      <c r="AS112" s="32">
        <f t="shared" si="25"/>
        <v>0</v>
      </c>
      <c r="AT112" s="2" t="str">
        <f t="shared" si="26"/>
        <v/>
      </c>
      <c r="AU112" s="31" t="s">
        <v>116</v>
      </c>
      <c r="AV112" s="3">
        <f t="shared" si="27"/>
        <v>0</v>
      </c>
      <c r="AW112" s="3">
        <f t="shared" si="28"/>
        <v>0</v>
      </c>
      <c r="AX112" s="3">
        <f t="shared" si="29"/>
        <v>0</v>
      </c>
      <c r="AY112" s="3">
        <f t="shared" si="30"/>
        <v>0</v>
      </c>
      <c r="AZ112" s="3">
        <f t="shared" si="31"/>
        <v>0</v>
      </c>
      <c r="BA112" s="32">
        <f t="shared" si="32"/>
        <v>0</v>
      </c>
      <c r="BB112" s="2" t="str">
        <f t="shared" si="33"/>
        <v/>
      </c>
    </row>
    <row r="113" spans="1:54" ht="14.4">
      <c r="A113" s="13" t="s">
        <v>161</v>
      </c>
      <c r="B113" s="13"/>
      <c r="C113" s="14" t="str">
        <f>IFERROR(VLOOKUP($B113,'Cost Library'!$A$2:$M$159,2,FALSE),"")</f>
        <v/>
      </c>
      <c r="D113" s="14" t="str">
        <f>IFERROR(VLOOKUP($B113,'Cost Library'!$A$2:$M$159,3,FALSE),"")</f>
        <v/>
      </c>
      <c r="E113" s="13"/>
      <c r="F113" s="13"/>
      <c r="G113" s="13" t="str">
        <f>IFERROR(VLOOKUP($B113,'Cost Library'!$A$2:$M$159,5,FALSE),"")</f>
        <v/>
      </c>
      <c r="H113" s="13"/>
      <c r="I113" s="13"/>
      <c r="J113" s="13"/>
      <c r="K113" s="13"/>
      <c r="L113" s="13">
        <v>1</v>
      </c>
      <c r="M113" s="14" t="str">
        <f>IFERROR(VLOOKUP($B113,'Cost Library'!$A$2:$M$159,6,FALSE),"")</f>
        <v/>
      </c>
      <c r="N113" s="15">
        <f>IFERROR(VLOOKUP($B113,'Cost Library'!$A$2:$M$159,7,FALSE),0)</f>
        <v>0</v>
      </c>
      <c r="O113" s="15">
        <f>IFERROR(VLOOKUP($B113,'Cost Library'!$A$2:$M$159,8,FALSE),0)</f>
        <v>0</v>
      </c>
      <c r="P113" s="15">
        <f>IFERROR(VLOOKUP($B113,'Cost Library'!$A$2:$M$159,9,FALSE),0)</f>
        <v>0</v>
      </c>
      <c r="Q113" s="16"/>
      <c r="R113" s="16" t="s">
        <v>116</v>
      </c>
      <c r="S113" s="17">
        <f t="shared" si="17"/>
        <v>0</v>
      </c>
      <c r="T113" s="18">
        <f>'Project Inputs'!$C$15</f>
        <v>0.1</v>
      </c>
      <c r="U113" s="17">
        <f t="shared" si="18"/>
        <v>0</v>
      </c>
      <c r="V113" s="11" t="s">
        <v>247</v>
      </c>
      <c r="W113" s="14" t="str">
        <f>IFERROR(VLOOKUP($B113,'Cost Library'!$A$2:$M$159,10,FALSE),"")</f>
        <v/>
      </c>
      <c r="X113" s="11"/>
      <c r="Y113" s="11"/>
      <c r="Z113" s="11"/>
      <c r="AA113" s="11"/>
      <c r="AB113" s="11"/>
      <c r="AC113" s="11"/>
      <c r="AD113" s="30"/>
      <c r="AE113" s="31"/>
      <c r="AF113" s="3">
        <f t="shared" si="19"/>
        <v>0</v>
      </c>
      <c r="AG113" s="31"/>
      <c r="AH113" s="31"/>
      <c r="AI113" s="3">
        <f t="shared" si="20"/>
        <v>0</v>
      </c>
      <c r="AJ113" s="31"/>
      <c r="AK113" s="31"/>
      <c r="AL113" s="3">
        <f t="shared" si="21"/>
        <v>0</v>
      </c>
      <c r="AM113" s="3">
        <f>IF($A113&lt;&gt;"Yes",0,IF($R113="Detailed Breakdown",$AF113,$S113*IFERROR(VLOOKUP($B113,'Cost Library'!$A$2:$Q$159,14,FALSE),0.4)))</f>
        <v>0</v>
      </c>
      <c r="AN113" s="3">
        <f>IF($A113&lt;&gt;"Yes",0,IF($R113="Detailed Breakdown",$AI113,$S113*IFERROR(VLOOKUP($B113,'Cost Library'!$A$2:$Q$159,15,FALSE),0.5)))</f>
        <v>0</v>
      </c>
      <c r="AO113" s="3">
        <f>IF($A113&lt;&gt;"Yes",0,IF($R113="Detailed Breakdown",$AJ113+$AK113,$S113*IFERROR(VLOOKUP($B113,'Cost Library'!$A$2:$Q$159,16,FALSE),0.1)))</f>
        <v>0</v>
      </c>
      <c r="AP113" s="3">
        <f t="shared" si="22"/>
        <v>0</v>
      </c>
      <c r="AQ113" s="32">
        <f t="shared" si="23"/>
        <v>0</v>
      </c>
      <c r="AR113" s="32">
        <f t="shared" si="24"/>
        <v>0</v>
      </c>
      <c r="AS113" s="32">
        <f t="shared" si="25"/>
        <v>0</v>
      </c>
      <c r="AT113" s="2" t="str">
        <f t="shared" si="26"/>
        <v/>
      </c>
      <c r="AU113" s="31" t="s">
        <v>116</v>
      </c>
      <c r="AV113" s="3">
        <f t="shared" si="27"/>
        <v>0</v>
      </c>
      <c r="AW113" s="3">
        <f t="shared" si="28"/>
        <v>0</v>
      </c>
      <c r="AX113" s="3">
        <f t="shared" si="29"/>
        <v>0</v>
      </c>
      <c r="AY113" s="3">
        <f t="shared" si="30"/>
        <v>0</v>
      </c>
      <c r="AZ113" s="3">
        <f t="shared" si="31"/>
        <v>0</v>
      </c>
      <c r="BA113" s="32">
        <f t="shared" si="32"/>
        <v>0</v>
      </c>
      <c r="BB113" s="2" t="str">
        <f t="shared" si="33"/>
        <v/>
      </c>
    </row>
    <row r="114" spans="1:54" ht="14.4">
      <c r="A114" s="13" t="s">
        <v>161</v>
      </c>
      <c r="B114" s="13"/>
      <c r="C114" s="14" t="str">
        <f>IFERROR(VLOOKUP($B114,'Cost Library'!$A$2:$M$159,2,FALSE),"")</f>
        <v/>
      </c>
      <c r="D114" s="14" t="str">
        <f>IFERROR(VLOOKUP($B114,'Cost Library'!$A$2:$M$159,3,FALSE),"")</f>
        <v/>
      </c>
      <c r="E114" s="13"/>
      <c r="F114" s="13"/>
      <c r="G114" s="13" t="str">
        <f>IFERROR(VLOOKUP($B114,'Cost Library'!$A$2:$M$159,5,FALSE),"")</f>
        <v/>
      </c>
      <c r="H114" s="13"/>
      <c r="I114" s="13"/>
      <c r="J114" s="13"/>
      <c r="K114" s="13"/>
      <c r="L114" s="13">
        <v>1</v>
      </c>
      <c r="M114" s="14" t="str">
        <f>IFERROR(VLOOKUP($B114,'Cost Library'!$A$2:$M$159,6,FALSE),"")</f>
        <v/>
      </c>
      <c r="N114" s="15">
        <f>IFERROR(VLOOKUP($B114,'Cost Library'!$A$2:$M$159,7,FALSE),0)</f>
        <v>0</v>
      </c>
      <c r="O114" s="15">
        <f>IFERROR(VLOOKUP($B114,'Cost Library'!$A$2:$M$159,8,FALSE),0)</f>
        <v>0</v>
      </c>
      <c r="P114" s="15">
        <f>IFERROR(VLOOKUP($B114,'Cost Library'!$A$2:$M$159,9,FALSE),0)</f>
        <v>0</v>
      </c>
      <c r="Q114" s="16"/>
      <c r="R114" s="16" t="s">
        <v>116</v>
      </c>
      <c r="S114" s="17">
        <f t="shared" si="17"/>
        <v>0</v>
      </c>
      <c r="T114" s="18">
        <f>'Project Inputs'!$C$15</f>
        <v>0.1</v>
      </c>
      <c r="U114" s="17">
        <f t="shared" si="18"/>
        <v>0</v>
      </c>
      <c r="V114" s="11" t="s">
        <v>247</v>
      </c>
      <c r="W114" s="14" t="str">
        <f>IFERROR(VLOOKUP($B114,'Cost Library'!$A$2:$M$159,10,FALSE),"")</f>
        <v/>
      </c>
      <c r="X114" s="11"/>
      <c r="Y114" s="11"/>
      <c r="Z114" s="11"/>
      <c r="AA114" s="11"/>
      <c r="AB114" s="11"/>
      <c r="AC114" s="11"/>
      <c r="AD114" s="30"/>
      <c r="AE114" s="31"/>
      <c r="AF114" s="3">
        <f t="shared" si="19"/>
        <v>0</v>
      </c>
      <c r="AG114" s="31"/>
      <c r="AH114" s="31"/>
      <c r="AI114" s="3">
        <f t="shared" si="20"/>
        <v>0</v>
      </c>
      <c r="AJ114" s="31"/>
      <c r="AK114" s="31"/>
      <c r="AL114" s="3">
        <f t="shared" si="21"/>
        <v>0</v>
      </c>
      <c r="AM114" s="3">
        <f>IF($A114&lt;&gt;"Yes",0,IF($R114="Detailed Breakdown",$AF114,$S114*IFERROR(VLOOKUP($B114,'Cost Library'!$A$2:$Q$159,14,FALSE),0.4)))</f>
        <v>0</v>
      </c>
      <c r="AN114" s="3">
        <f>IF($A114&lt;&gt;"Yes",0,IF($R114="Detailed Breakdown",$AI114,$S114*IFERROR(VLOOKUP($B114,'Cost Library'!$A$2:$Q$159,15,FALSE),0.5)))</f>
        <v>0</v>
      </c>
      <c r="AO114" s="3">
        <f>IF($A114&lt;&gt;"Yes",0,IF($R114="Detailed Breakdown",$AJ114+$AK114,$S114*IFERROR(VLOOKUP($B114,'Cost Library'!$A$2:$Q$159,16,FALSE),0.1)))</f>
        <v>0</v>
      </c>
      <c r="AP114" s="3">
        <f t="shared" si="22"/>
        <v>0</v>
      </c>
      <c r="AQ114" s="32">
        <f t="shared" si="23"/>
        <v>0</v>
      </c>
      <c r="AR114" s="32">
        <f t="shared" si="24"/>
        <v>0</v>
      </c>
      <c r="AS114" s="32">
        <f t="shared" si="25"/>
        <v>0</v>
      </c>
      <c r="AT114" s="2" t="str">
        <f t="shared" si="26"/>
        <v/>
      </c>
      <c r="AU114" s="31" t="s">
        <v>116</v>
      </c>
      <c r="AV114" s="3">
        <f t="shared" si="27"/>
        <v>0</v>
      </c>
      <c r="AW114" s="3">
        <f t="shared" si="28"/>
        <v>0</v>
      </c>
      <c r="AX114" s="3">
        <f t="shared" si="29"/>
        <v>0</v>
      </c>
      <c r="AY114" s="3">
        <f t="shared" si="30"/>
        <v>0</v>
      </c>
      <c r="AZ114" s="3">
        <f t="shared" si="31"/>
        <v>0</v>
      </c>
      <c r="BA114" s="32">
        <f t="shared" si="32"/>
        <v>0</v>
      </c>
      <c r="BB114" s="2" t="str">
        <f t="shared" si="33"/>
        <v/>
      </c>
    </row>
    <row r="115" spans="1:54" ht="14.4">
      <c r="A115" s="13" t="s">
        <v>161</v>
      </c>
      <c r="B115" s="13"/>
      <c r="C115" s="14" t="str">
        <f>IFERROR(VLOOKUP($B115,'Cost Library'!$A$2:$M$159,2,FALSE),"")</f>
        <v/>
      </c>
      <c r="D115" s="14" t="str">
        <f>IFERROR(VLOOKUP($B115,'Cost Library'!$A$2:$M$159,3,FALSE),"")</f>
        <v/>
      </c>
      <c r="E115" s="13"/>
      <c r="F115" s="13"/>
      <c r="G115" s="13" t="str">
        <f>IFERROR(VLOOKUP($B115,'Cost Library'!$A$2:$M$159,5,FALSE),"")</f>
        <v/>
      </c>
      <c r="H115" s="13"/>
      <c r="I115" s="13"/>
      <c r="J115" s="13"/>
      <c r="K115" s="13"/>
      <c r="L115" s="13">
        <v>1</v>
      </c>
      <c r="M115" s="14" t="str">
        <f>IFERROR(VLOOKUP($B115,'Cost Library'!$A$2:$M$159,6,FALSE),"")</f>
        <v/>
      </c>
      <c r="N115" s="15">
        <f>IFERROR(VLOOKUP($B115,'Cost Library'!$A$2:$M$159,7,FALSE),0)</f>
        <v>0</v>
      </c>
      <c r="O115" s="15">
        <f>IFERROR(VLOOKUP($B115,'Cost Library'!$A$2:$M$159,8,FALSE),0)</f>
        <v>0</v>
      </c>
      <c r="P115" s="15">
        <f>IFERROR(VLOOKUP($B115,'Cost Library'!$A$2:$M$159,9,FALSE),0)</f>
        <v>0</v>
      </c>
      <c r="Q115" s="16"/>
      <c r="R115" s="16" t="s">
        <v>116</v>
      </c>
      <c r="S115" s="17">
        <f t="shared" si="17"/>
        <v>0</v>
      </c>
      <c r="T115" s="18">
        <f>'Project Inputs'!$C$15</f>
        <v>0.1</v>
      </c>
      <c r="U115" s="17">
        <f t="shared" si="18"/>
        <v>0</v>
      </c>
      <c r="V115" s="11" t="s">
        <v>247</v>
      </c>
      <c r="W115" s="14" t="str">
        <f>IFERROR(VLOOKUP($B115,'Cost Library'!$A$2:$M$159,10,FALSE),"")</f>
        <v/>
      </c>
      <c r="X115" s="11"/>
      <c r="Y115" s="11"/>
      <c r="Z115" s="11"/>
      <c r="AA115" s="11"/>
      <c r="AB115" s="11"/>
      <c r="AC115" s="11"/>
      <c r="AD115" s="30"/>
      <c r="AE115" s="31"/>
      <c r="AF115" s="3">
        <f t="shared" si="19"/>
        <v>0</v>
      </c>
      <c r="AG115" s="31"/>
      <c r="AH115" s="31"/>
      <c r="AI115" s="3">
        <f t="shared" si="20"/>
        <v>0</v>
      </c>
      <c r="AJ115" s="31"/>
      <c r="AK115" s="31"/>
      <c r="AL115" s="3">
        <f t="shared" si="21"/>
        <v>0</v>
      </c>
      <c r="AM115" s="3">
        <f>IF($A115&lt;&gt;"Yes",0,IF($R115="Detailed Breakdown",$AF115,$S115*IFERROR(VLOOKUP($B115,'Cost Library'!$A$2:$Q$159,14,FALSE),0.4)))</f>
        <v>0</v>
      </c>
      <c r="AN115" s="3">
        <f>IF($A115&lt;&gt;"Yes",0,IF($R115="Detailed Breakdown",$AI115,$S115*IFERROR(VLOOKUP($B115,'Cost Library'!$A$2:$Q$159,15,FALSE),0.5)))</f>
        <v>0</v>
      </c>
      <c r="AO115" s="3">
        <f>IF($A115&lt;&gt;"Yes",0,IF($R115="Detailed Breakdown",$AJ115+$AK115,$S115*IFERROR(VLOOKUP($B115,'Cost Library'!$A$2:$Q$159,16,FALSE),0.1)))</f>
        <v>0</v>
      </c>
      <c r="AP115" s="3">
        <f t="shared" si="22"/>
        <v>0</v>
      </c>
      <c r="AQ115" s="32">
        <f t="shared" si="23"/>
        <v>0</v>
      </c>
      <c r="AR115" s="32">
        <f t="shared" si="24"/>
        <v>0</v>
      </c>
      <c r="AS115" s="32">
        <f t="shared" si="25"/>
        <v>0</v>
      </c>
      <c r="AT115" s="2" t="str">
        <f t="shared" si="26"/>
        <v/>
      </c>
      <c r="AU115" s="31" t="s">
        <v>116</v>
      </c>
      <c r="AV115" s="3">
        <f t="shared" si="27"/>
        <v>0</v>
      </c>
      <c r="AW115" s="3">
        <f t="shared" si="28"/>
        <v>0</v>
      </c>
      <c r="AX115" s="3">
        <f t="shared" si="29"/>
        <v>0</v>
      </c>
      <c r="AY115" s="3">
        <f t="shared" si="30"/>
        <v>0</v>
      </c>
      <c r="AZ115" s="3">
        <f t="shared" si="31"/>
        <v>0</v>
      </c>
      <c r="BA115" s="32">
        <f t="shared" si="32"/>
        <v>0</v>
      </c>
      <c r="BB115" s="2" t="str">
        <f t="shared" si="33"/>
        <v/>
      </c>
    </row>
    <row r="116" spans="1:54" ht="14.4">
      <c r="A116" s="13" t="s">
        <v>161</v>
      </c>
      <c r="B116" s="13"/>
      <c r="C116" s="14" t="str">
        <f>IFERROR(VLOOKUP($B116,'Cost Library'!$A$2:$M$159,2,FALSE),"")</f>
        <v/>
      </c>
      <c r="D116" s="14" t="str">
        <f>IFERROR(VLOOKUP($B116,'Cost Library'!$A$2:$M$159,3,FALSE),"")</f>
        <v/>
      </c>
      <c r="E116" s="13"/>
      <c r="F116" s="13"/>
      <c r="G116" s="13" t="str">
        <f>IFERROR(VLOOKUP($B116,'Cost Library'!$A$2:$M$159,5,FALSE),"")</f>
        <v/>
      </c>
      <c r="H116" s="13"/>
      <c r="I116" s="13"/>
      <c r="J116" s="13"/>
      <c r="K116" s="13"/>
      <c r="L116" s="13">
        <v>1</v>
      </c>
      <c r="M116" s="14" t="str">
        <f>IFERROR(VLOOKUP($B116,'Cost Library'!$A$2:$M$159,6,FALSE),"")</f>
        <v/>
      </c>
      <c r="N116" s="15">
        <f>IFERROR(VLOOKUP($B116,'Cost Library'!$A$2:$M$159,7,FALSE),0)</f>
        <v>0</v>
      </c>
      <c r="O116" s="15">
        <f>IFERROR(VLOOKUP($B116,'Cost Library'!$A$2:$M$159,8,FALSE),0)</f>
        <v>0</v>
      </c>
      <c r="P116" s="15">
        <f>IFERROR(VLOOKUP($B116,'Cost Library'!$A$2:$M$159,9,FALSE),0)</f>
        <v>0</v>
      </c>
      <c r="Q116" s="16"/>
      <c r="R116" s="16" t="s">
        <v>116</v>
      </c>
      <c r="S116" s="17">
        <f t="shared" si="17"/>
        <v>0</v>
      </c>
      <c r="T116" s="18">
        <f>'Project Inputs'!$C$15</f>
        <v>0.1</v>
      </c>
      <c r="U116" s="17">
        <f t="shared" si="18"/>
        <v>0</v>
      </c>
      <c r="V116" s="11" t="s">
        <v>247</v>
      </c>
      <c r="W116" s="14" t="str">
        <f>IFERROR(VLOOKUP($B116,'Cost Library'!$A$2:$M$159,10,FALSE),"")</f>
        <v/>
      </c>
      <c r="X116" s="11"/>
      <c r="Y116" s="11"/>
      <c r="Z116" s="11"/>
      <c r="AA116" s="11"/>
      <c r="AB116" s="11"/>
      <c r="AC116" s="11"/>
      <c r="AD116" s="30"/>
      <c r="AE116" s="31"/>
      <c r="AF116" s="3">
        <f t="shared" si="19"/>
        <v>0</v>
      </c>
      <c r="AG116" s="31"/>
      <c r="AH116" s="31"/>
      <c r="AI116" s="3">
        <f t="shared" si="20"/>
        <v>0</v>
      </c>
      <c r="AJ116" s="31"/>
      <c r="AK116" s="31"/>
      <c r="AL116" s="3">
        <f t="shared" si="21"/>
        <v>0</v>
      </c>
      <c r="AM116" s="3">
        <f>IF($A116&lt;&gt;"Yes",0,IF($R116="Detailed Breakdown",$AF116,$S116*IFERROR(VLOOKUP($B116,'Cost Library'!$A$2:$Q$159,14,FALSE),0.4)))</f>
        <v>0</v>
      </c>
      <c r="AN116" s="3">
        <f>IF($A116&lt;&gt;"Yes",0,IF($R116="Detailed Breakdown",$AI116,$S116*IFERROR(VLOOKUP($B116,'Cost Library'!$A$2:$Q$159,15,FALSE),0.5)))</f>
        <v>0</v>
      </c>
      <c r="AO116" s="3">
        <f>IF($A116&lt;&gt;"Yes",0,IF($R116="Detailed Breakdown",$AJ116+$AK116,$S116*IFERROR(VLOOKUP($B116,'Cost Library'!$A$2:$Q$159,16,FALSE),0.1)))</f>
        <v>0</v>
      </c>
      <c r="AP116" s="3">
        <f t="shared" si="22"/>
        <v>0</v>
      </c>
      <c r="AQ116" s="32">
        <f t="shared" si="23"/>
        <v>0</v>
      </c>
      <c r="AR116" s="32">
        <f t="shared" si="24"/>
        <v>0</v>
      </c>
      <c r="AS116" s="32">
        <f t="shared" si="25"/>
        <v>0</v>
      </c>
      <c r="AT116" s="2" t="str">
        <f t="shared" si="26"/>
        <v/>
      </c>
      <c r="AU116" s="31" t="s">
        <v>116</v>
      </c>
      <c r="AV116" s="3">
        <f t="shared" si="27"/>
        <v>0</v>
      </c>
      <c r="AW116" s="3">
        <f t="shared" si="28"/>
        <v>0</v>
      </c>
      <c r="AX116" s="3">
        <f t="shared" si="29"/>
        <v>0</v>
      </c>
      <c r="AY116" s="3">
        <f t="shared" si="30"/>
        <v>0</v>
      </c>
      <c r="AZ116" s="3">
        <f t="shared" si="31"/>
        <v>0</v>
      </c>
      <c r="BA116" s="32">
        <f t="shared" si="32"/>
        <v>0</v>
      </c>
      <c r="BB116" s="2" t="str">
        <f t="shared" si="33"/>
        <v/>
      </c>
    </row>
    <row r="117" spans="1:54" ht="14.4">
      <c r="A117" s="13" t="s">
        <v>161</v>
      </c>
      <c r="B117" s="13"/>
      <c r="C117" s="14" t="str">
        <f>IFERROR(VLOOKUP($B117,'Cost Library'!$A$2:$M$159,2,FALSE),"")</f>
        <v/>
      </c>
      <c r="D117" s="14" t="str">
        <f>IFERROR(VLOOKUP($B117,'Cost Library'!$A$2:$M$159,3,FALSE),"")</f>
        <v/>
      </c>
      <c r="E117" s="13"/>
      <c r="F117" s="13"/>
      <c r="G117" s="13" t="str">
        <f>IFERROR(VLOOKUP($B117,'Cost Library'!$A$2:$M$159,5,FALSE),"")</f>
        <v/>
      </c>
      <c r="H117" s="13"/>
      <c r="I117" s="13"/>
      <c r="J117" s="13"/>
      <c r="K117" s="13"/>
      <c r="L117" s="13">
        <v>1</v>
      </c>
      <c r="M117" s="14" t="str">
        <f>IFERROR(VLOOKUP($B117,'Cost Library'!$A$2:$M$159,6,FALSE),"")</f>
        <v/>
      </c>
      <c r="N117" s="15">
        <f>IFERROR(VLOOKUP($B117,'Cost Library'!$A$2:$M$159,7,FALSE),0)</f>
        <v>0</v>
      </c>
      <c r="O117" s="15">
        <f>IFERROR(VLOOKUP($B117,'Cost Library'!$A$2:$M$159,8,FALSE),0)</f>
        <v>0</v>
      </c>
      <c r="P117" s="15">
        <f>IFERROR(VLOOKUP($B117,'Cost Library'!$A$2:$M$159,9,FALSE),0)</f>
        <v>0</v>
      </c>
      <c r="Q117" s="16"/>
      <c r="R117" s="16" t="s">
        <v>116</v>
      </c>
      <c r="S117" s="17">
        <f t="shared" si="17"/>
        <v>0</v>
      </c>
      <c r="T117" s="18">
        <f>'Project Inputs'!$C$15</f>
        <v>0.1</v>
      </c>
      <c r="U117" s="17">
        <f t="shared" si="18"/>
        <v>0</v>
      </c>
      <c r="V117" s="11" t="s">
        <v>247</v>
      </c>
      <c r="W117" s="14" t="str">
        <f>IFERROR(VLOOKUP($B117,'Cost Library'!$A$2:$M$159,10,FALSE),"")</f>
        <v/>
      </c>
      <c r="X117" s="11"/>
      <c r="Y117" s="11"/>
      <c r="Z117" s="11"/>
      <c r="AA117" s="11"/>
      <c r="AB117" s="11"/>
      <c r="AC117" s="11"/>
      <c r="AD117" s="30"/>
      <c r="AE117" s="31"/>
      <c r="AF117" s="3">
        <f t="shared" si="19"/>
        <v>0</v>
      </c>
      <c r="AG117" s="31"/>
      <c r="AH117" s="31"/>
      <c r="AI117" s="3">
        <f t="shared" si="20"/>
        <v>0</v>
      </c>
      <c r="AJ117" s="31"/>
      <c r="AK117" s="31"/>
      <c r="AL117" s="3">
        <f t="shared" si="21"/>
        <v>0</v>
      </c>
      <c r="AM117" s="3">
        <f>IF($A117&lt;&gt;"Yes",0,IF($R117="Detailed Breakdown",$AF117,$S117*IFERROR(VLOOKUP($B117,'Cost Library'!$A$2:$Q$159,14,FALSE),0.4)))</f>
        <v>0</v>
      </c>
      <c r="AN117" s="3">
        <f>IF($A117&lt;&gt;"Yes",0,IF($R117="Detailed Breakdown",$AI117,$S117*IFERROR(VLOOKUP($B117,'Cost Library'!$A$2:$Q$159,15,FALSE),0.5)))</f>
        <v>0</v>
      </c>
      <c r="AO117" s="3">
        <f>IF($A117&lt;&gt;"Yes",0,IF($R117="Detailed Breakdown",$AJ117+$AK117,$S117*IFERROR(VLOOKUP($B117,'Cost Library'!$A$2:$Q$159,16,FALSE),0.1)))</f>
        <v>0</v>
      </c>
      <c r="AP117" s="3">
        <f t="shared" si="22"/>
        <v>0</v>
      </c>
      <c r="AQ117" s="32">
        <f t="shared" si="23"/>
        <v>0</v>
      </c>
      <c r="AR117" s="32">
        <f t="shared" si="24"/>
        <v>0</v>
      </c>
      <c r="AS117" s="32">
        <f t="shared" si="25"/>
        <v>0</v>
      </c>
      <c r="AT117" s="2" t="str">
        <f t="shared" si="26"/>
        <v/>
      </c>
      <c r="AU117" s="31" t="s">
        <v>116</v>
      </c>
      <c r="AV117" s="3">
        <f t="shared" si="27"/>
        <v>0</v>
      </c>
      <c r="AW117" s="3">
        <f t="shared" si="28"/>
        <v>0</v>
      </c>
      <c r="AX117" s="3">
        <f t="shared" si="29"/>
        <v>0</v>
      </c>
      <c r="AY117" s="3">
        <f t="shared" si="30"/>
        <v>0</v>
      </c>
      <c r="AZ117" s="3">
        <f t="shared" si="31"/>
        <v>0</v>
      </c>
      <c r="BA117" s="32">
        <f t="shared" si="32"/>
        <v>0</v>
      </c>
      <c r="BB117" s="2" t="str">
        <f t="shared" si="33"/>
        <v/>
      </c>
    </row>
    <row r="118" spans="1:54" ht="14.4">
      <c r="A118" s="13" t="s">
        <v>161</v>
      </c>
      <c r="B118" s="13"/>
      <c r="C118" s="14" t="str">
        <f>IFERROR(VLOOKUP($B118,'Cost Library'!$A$2:$M$159,2,FALSE),"")</f>
        <v/>
      </c>
      <c r="D118" s="14" t="str">
        <f>IFERROR(VLOOKUP($B118,'Cost Library'!$A$2:$M$159,3,FALSE),"")</f>
        <v/>
      </c>
      <c r="E118" s="13"/>
      <c r="F118" s="13"/>
      <c r="G118" s="13" t="str">
        <f>IFERROR(VLOOKUP($B118,'Cost Library'!$A$2:$M$159,5,FALSE),"")</f>
        <v/>
      </c>
      <c r="H118" s="13"/>
      <c r="I118" s="13"/>
      <c r="J118" s="13"/>
      <c r="K118" s="13"/>
      <c r="L118" s="13">
        <v>1</v>
      </c>
      <c r="M118" s="14" t="str">
        <f>IFERROR(VLOOKUP($B118,'Cost Library'!$A$2:$M$159,6,FALSE),"")</f>
        <v/>
      </c>
      <c r="N118" s="15">
        <f>IFERROR(VLOOKUP($B118,'Cost Library'!$A$2:$M$159,7,FALSE),0)</f>
        <v>0</v>
      </c>
      <c r="O118" s="15">
        <f>IFERROR(VLOOKUP($B118,'Cost Library'!$A$2:$M$159,8,FALSE),0)</f>
        <v>0</v>
      </c>
      <c r="P118" s="15">
        <f>IFERROR(VLOOKUP($B118,'Cost Library'!$A$2:$M$159,9,FALSE),0)</f>
        <v>0</v>
      </c>
      <c r="Q118" s="16"/>
      <c r="R118" s="16" t="s">
        <v>116</v>
      </c>
      <c r="S118" s="17">
        <f t="shared" si="17"/>
        <v>0</v>
      </c>
      <c r="T118" s="18">
        <f>'Project Inputs'!$C$15</f>
        <v>0.1</v>
      </c>
      <c r="U118" s="17">
        <f t="shared" si="18"/>
        <v>0</v>
      </c>
      <c r="V118" s="11" t="s">
        <v>247</v>
      </c>
      <c r="W118" s="14" t="str">
        <f>IFERROR(VLOOKUP($B118,'Cost Library'!$A$2:$M$159,10,FALSE),"")</f>
        <v/>
      </c>
      <c r="X118" s="11"/>
      <c r="Y118" s="11"/>
      <c r="Z118" s="11"/>
      <c r="AA118" s="11"/>
      <c r="AB118" s="11"/>
      <c r="AC118" s="11"/>
      <c r="AD118" s="30"/>
      <c r="AE118" s="31"/>
      <c r="AF118" s="3">
        <f t="shared" si="19"/>
        <v>0</v>
      </c>
      <c r="AG118" s="31"/>
      <c r="AH118" s="31"/>
      <c r="AI118" s="3">
        <f t="shared" si="20"/>
        <v>0</v>
      </c>
      <c r="AJ118" s="31"/>
      <c r="AK118" s="31"/>
      <c r="AL118" s="3">
        <f t="shared" si="21"/>
        <v>0</v>
      </c>
      <c r="AM118" s="3">
        <f>IF($A118&lt;&gt;"Yes",0,IF($R118="Detailed Breakdown",$AF118,$S118*IFERROR(VLOOKUP($B118,'Cost Library'!$A$2:$Q$159,14,FALSE),0.4)))</f>
        <v>0</v>
      </c>
      <c r="AN118" s="3">
        <f>IF($A118&lt;&gt;"Yes",0,IF($R118="Detailed Breakdown",$AI118,$S118*IFERROR(VLOOKUP($B118,'Cost Library'!$A$2:$Q$159,15,FALSE),0.5)))</f>
        <v>0</v>
      </c>
      <c r="AO118" s="3">
        <f>IF($A118&lt;&gt;"Yes",0,IF($R118="Detailed Breakdown",$AJ118+$AK118,$S118*IFERROR(VLOOKUP($B118,'Cost Library'!$A$2:$Q$159,16,FALSE),0.1)))</f>
        <v>0</v>
      </c>
      <c r="AP118" s="3">
        <f t="shared" si="22"/>
        <v>0</v>
      </c>
      <c r="AQ118" s="32">
        <f t="shared" si="23"/>
        <v>0</v>
      </c>
      <c r="AR118" s="32">
        <f t="shared" si="24"/>
        <v>0</v>
      </c>
      <c r="AS118" s="32">
        <f t="shared" si="25"/>
        <v>0</v>
      </c>
      <c r="AT118" s="2" t="str">
        <f t="shared" si="26"/>
        <v/>
      </c>
      <c r="AU118" s="31" t="s">
        <v>116</v>
      </c>
      <c r="AV118" s="3">
        <f t="shared" si="27"/>
        <v>0</v>
      </c>
      <c r="AW118" s="3">
        <f t="shared" si="28"/>
        <v>0</v>
      </c>
      <c r="AX118" s="3">
        <f t="shared" si="29"/>
        <v>0</v>
      </c>
      <c r="AY118" s="3">
        <f t="shared" si="30"/>
        <v>0</v>
      </c>
      <c r="AZ118" s="3">
        <f t="shared" si="31"/>
        <v>0</v>
      </c>
      <c r="BA118" s="32">
        <f t="shared" si="32"/>
        <v>0</v>
      </c>
      <c r="BB118" s="2" t="str">
        <f t="shared" si="33"/>
        <v/>
      </c>
    </row>
    <row r="119" spans="1:54" ht="14.4">
      <c r="A119" s="13" t="s">
        <v>161</v>
      </c>
      <c r="B119" s="13"/>
      <c r="C119" s="14" t="str">
        <f>IFERROR(VLOOKUP($B119,'Cost Library'!$A$2:$M$159,2,FALSE),"")</f>
        <v/>
      </c>
      <c r="D119" s="14" t="str">
        <f>IFERROR(VLOOKUP($B119,'Cost Library'!$A$2:$M$159,3,FALSE),"")</f>
        <v/>
      </c>
      <c r="E119" s="13"/>
      <c r="F119" s="13"/>
      <c r="G119" s="13" t="str">
        <f>IFERROR(VLOOKUP($B119,'Cost Library'!$A$2:$M$159,5,FALSE),"")</f>
        <v/>
      </c>
      <c r="H119" s="13"/>
      <c r="I119" s="13"/>
      <c r="J119" s="13"/>
      <c r="K119" s="13"/>
      <c r="L119" s="13">
        <v>1</v>
      </c>
      <c r="M119" s="14" t="str">
        <f>IFERROR(VLOOKUP($B119,'Cost Library'!$A$2:$M$159,6,FALSE),"")</f>
        <v/>
      </c>
      <c r="N119" s="15">
        <f>IFERROR(VLOOKUP($B119,'Cost Library'!$A$2:$M$159,7,FALSE),0)</f>
        <v>0</v>
      </c>
      <c r="O119" s="15">
        <f>IFERROR(VLOOKUP($B119,'Cost Library'!$A$2:$M$159,8,FALSE),0)</f>
        <v>0</v>
      </c>
      <c r="P119" s="15">
        <f>IFERROR(VLOOKUP($B119,'Cost Library'!$A$2:$M$159,9,FALSE),0)</f>
        <v>0</v>
      </c>
      <c r="Q119" s="16"/>
      <c r="R119" s="16" t="s">
        <v>116</v>
      </c>
      <c r="S119" s="17">
        <f t="shared" si="17"/>
        <v>0</v>
      </c>
      <c r="T119" s="18">
        <f>'Project Inputs'!$C$15</f>
        <v>0.1</v>
      </c>
      <c r="U119" s="17">
        <f t="shared" si="18"/>
        <v>0</v>
      </c>
      <c r="V119" s="11" t="s">
        <v>247</v>
      </c>
      <c r="W119" s="14" t="str">
        <f>IFERROR(VLOOKUP($B119,'Cost Library'!$A$2:$M$159,10,FALSE),"")</f>
        <v/>
      </c>
      <c r="X119" s="11"/>
      <c r="Y119" s="11"/>
      <c r="Z119" s="11"/>
      <c r="AA119" s="11"/>
      <c r="AB119" s="11"/>
      <c r="AC119" s="11"/>
      <c r="AD119" s="30"/>
      <c r="AE119" s="31"/>
      <c r="AF119" s="3">
        <f t="shared" si="19"/>
        <v>0</v>
      </c>
      <c r="AG119" s="31"/>
      <c r="AH119" s="31"/>
      <c r="AI119" s="3">
        <f t="shared" si="20"/>
        <v>0</v>
      </c>
      <c r="AJ119" s="31"/>
      <c r="AK119" s="31"/>
      <c r="AL119" s="3">
        <f t="shared" si="21"/>
        <v>0</v>
      </c>
      <c r="AM119" s="3">
        <f>IF($A119&lt;&gt;"Yes",0,IF($R119="Detailed Breakdown",$AF119,$S119*IFERROR(VLOOKUP($B119,'Cost Library'!$A$2:$Q$159,14,FALSE),0.4)))</f>
        <v>0</v>
      </c>
      <c r="AN119" s="3">
        <f>IF($A119&lt;&gt;"Yes",0,IF($R119="Detailed Breakdown",$AI119,$S119*IFERROR(VLOOKUP($B119,'Cost Library'!$A$2:$Q$159,15,FALSE),0.5)))</f>
        <v>0</v>
      </c>
      <c r="AO119" s="3">
        <f>IF($A119&lt;&gt;"Yes",0,IF($R119="Detailed Breakdown",$AJ119+$AK119,$S119*IFERROR(VLOOKUP($B119,'Cost Library'!$A$2:$Q$159,16,FALSE),0.1)))</f>
        <v>0</v>
      </c>
      <c r="AP119" s="3">
        <f t="shared" si="22"/>
        <v>0</v>
      </c>
      <c r="AQ119" s="32">
        <f t="shared" si="23"/>
        <v>0</v>
      </c>
      <c r="AR119" s="32">
        <f t="shared" si="24"/>
        <v>0</v>
      </c>
      <c r="AS119" s="32">
        <f t="shared" si="25"/>
        <v>0</v>
      </c>
      <c r="AT119" s="2" t="str">
        <f t="shared" si="26"/>
        <v/>
      </c>
      <c r="AU119" s="31" t="s">
        <v>116</v>
      </c>
      <c r="AV119" s="3">
        <f t="shared" si="27"/>
        <v>0</v>
      </c>
      <c r="AW119" s="3">
        <f t="shared" si="28"/>
        <v>0</v>
      </c>
      <c r="AX119" s="3">
        <f t="shared" si="29"/>
        <v>0</v>
      </c>
      <c r="AY119" s="3">
        <f t="shared" si="30"/>
        <v>0</v>
      </c>
      <c r="AZ119" s="3">
        <f t="shared" si="31"/>
        <v>0</v>
      </c>
      <c r="BA119" s="32">
        <f t="shared" si="32"/>
        <v>0</v>
      </c>
      <c r="BB119" s="2" t="str">
        <f t="shared" si="33"/>
        <v/>
      </c>
    </row>
    <row r="120" spans="1:54" ht="14.4">
      <c r="A120" s="13" t="s">
        <v>161</v>
      </c>
      <c r="B120" s="13"/>
      <c r="C120" s="14" t="str">
        <f>IFERROR(VLOOKUP($B120,'Cost Library'!$A$2:$M$159,2,FALSE),"")</f>
        <v/>
      </c>
      <c r="D120" s="14" t="str">
        <f>IFERROR(VLOOKUP($B120,'Cost Library'!$A$2:$M$159,3,FALSE),"")</f>
        <v/>
      </c>
      <c r="E120" s="13"/>
      <c r="F120" s="13"/>
      <c r="G120" s="13" t="str">
        <f>IFERROR(VLOOKUP($B120,'Cost Library'!$A$2:$M$159,5,FALSE),"")</f>
        <v/>
      </c>
      <c r="H120" s="13"/>
      <c r="I120" s="13"/>
      <c r="J120" s="13"/>
      <c r="K120" s="13"/>
      <c r="L120" s="13">
        <v>1</v>
      </c>
      <c r="M120" s="14" t="str">
        <f>IFERROR(VLOOKUP($B120,'Cost Library'!$A$2:$M$159,6,FALSE),"")</f>
        <v/>
      </c>
      <c r="N120" s="15">
        <f>IFERROR(VLOOKUP($B120,'Cost Library'!$A$2:$M$159,7,FALSE),0)</f>
        <v>0</v>
      </c>
      <c r="O120" s="15">
        <f>IFERROR(VLOOKUP($B120,'Cost Library'!$A$2:$M$159,8,FALSE),0)</f>
        <v>0</v>
      </c>
      <c r="P120" s="15">
        <f>IFERROR(VLOOKUP($B120,'Cost Library'!$A$2:$M$159,9,FALSE),0)</f>
        <v>0</v>
      </c>
      <c r="Q120" s="16"/>
      <c r="R120" s="16" t="s">
        <v>116</v>
      </c>
      <c r="S120" s="17">
        <f t="shared" si="17"/>
        <v>0</v>
      </c>
      <c r="T120" s="18">
        <f>'Project Inputs'!$C$15</f>
        <v>0.1</v>
      </c>
      <c r="U120" s="17">
        <f t="shared" si="18"/>
        <v>0</v>
      </c>
      <c r="V120" s="11" t="s">
        <v>247</v>
      </c>
      <c r="W120" s="14" t="str">
        <f>IFERROR(VLOOKUP($B120,'Cost Library'!$A$2:$M$159,10,FALSE),"")</f>
        <v/>
      </c>
      <c r="X120" s="11"/>
      <c r="Y120" s="11"/>
      <c r="Z120" s="11"/>
      <c r="AA120" s="11"/>
      <c r="AB120" s="11"/>
      <c r="AC120" s="11"/>
      <c r="AD120" s="30"/>
      <c r="AE120" s="31"/>
      <c r="AF120" s="3">
        <f t="shared" si="19"/>
        <v>0</v>
      </c>
      <c r="AG120" s="31"/>
      <c r="AH120" s="31"/>
      <c r="AI120" s="3">
        <f t="shared" si="20"/>
        <v>0</v>
      </c>
      <c r="AJ120" s="31"/>
      <c r="AK120" s="31"/>
      <c r="AL120" s="3">
        <f t="shared" si="21"/>
        <v>0</v>
      </c>
      <c r="AM120" s="3">
        <f>IF($A120&lt;&gt;"Yes",0,IF($R120="Detailed Breakdown",$AF120,$S120*IFERROR(VLOOKUP($B120,'Cost Library'!$A$2:$Q$159,14,FALSE),0.4)))</f>
        <v>0</v>
      </c>
      <c r="AN120" s="3">
        <f>IF($A120&lt;&gt;"Yes",0,IF($R120="Detailed Breakdown",$AI120,$S120*IFERROR(VLOOKUP($B120,'Cost Library'!$A$2:$Q$159,15,FALSE),0.5)))</f>
        <v>0</v>
      </c>
      <c r="AO120" s="3">
        <f>IF($A120&lt;&gt;"Yes",0,IF($R120="Detailed Breakdown",$AJ120+$AK120,$S120*IFERROR(VLOOKUP($B120,'Cost Library'!$A$2:$Q$159,16,FALSE),0.1)))</f>
        <v>0</v>
      </c>
      <c r="AP120" s="3">
        <f t="shared" si="22"/>
        <v>0</v>
      </c>
      <c r="AQ120" s="32">
        <f t="shared" si="23"/>
        <v>0</v>
      </c>
      <c r="AR120" s="32">
        <f t="shared" si="24"/>
        <v>0</v>
      </c>
      <c r="AS120" s="32">
        <f t="shared" si="25"/>
        <v>0</v>
      </c>
      <c r="AT120" s="2" t="str">
        <f t="shared" si="26"/>
        <v/>
      </c>
      <c r="AU120" s="31" t="s">
        <v>116</v>
      </c>
      <c r="AV120" s="3">
        <f t="shared" si="27"/>
        <v>0</v>
      </c>
      <c r="AW120" s="3">
        <f t="shared" si="28"/>
        <v>0</v>
      </c>
      <c r="AX120" s="3">
        <f t="shared" si="29"/>
        <v>0</v>
      </c>
      <c r="AY120" s="3">
        <f t="shared" si="30"/>
        <v>0</v>
      </c>
      <c r="AZ120" s="3">
        <f t="shared" si="31"/>
        <v>0</v>
      </c>
      <c r="BA120" s="32">
        <f t="shared" si="32"/>
        <v>0</v>
      </c>
      <c r="BB120" s="2" t="str">
        <f t="shared" si="33"/>
        <v/>
      </c>
    </row>
    <row r="121" spans="1:54" ht="14.4">
      <c r="A121" s="13" t="s">
        <v>161</v>
      </c>
      <c r="B121" s="13"/>
      <c r="C121" s="14" t="str">
        <f>IFERROR(VLOOKUP($B121,'Cost Library'!$A$2:$M$159,2,FALSE),"")</f>
        <v/>
      </c>
      <c r="D121" s="14" t="str">
        <f>IFERROR(VLOOKUP($B121,'Cost Library'!$A$2:$M$159,3,FALSE),"")</f>
        <v/>
      </c>
      <c r="E121" s="13"/>
      <c r="F121" s="13"/>
      <c r="G121" s="13" t="str">
        <f>IFERROR(VLOOKUP($B121,'Cost Library'!$A$2:$M$159,5,FALSE),"")</f>
        <v/>
      </c>
      <c r="H121" s="13"/>
      <c r="I121" s="13"/>
      <c r="J121" s="13"/>
      <c r="K121" s="13"/>
      <c r="L121" s="13">
        <v>1</v>
      </c>
      <c r="M121" s="14" t="str">
        <f>IFERROR(VLOOKUP($B121,'Cost Library'!$A$2:$M$159,6,FALSE),"")</f>
        <v/>
      </c>
      <c r="N121" s="15">
        <f>IFERROR(VLOOKUP($B121,'Cost Library'!$A$2:$M$159,7,FALSE),0)</f>
        <v>0</v>
      </c>
      <c r="O121" s="15">
        <f>IFERROR(VLOOKUP($B121,'Cost Library'!$A$2:$M$159,8,FALSE),0)</f>
        <v>0</v>
      </c>
      <c r="P121" s="15">
        <f>IFERROR(VLOOKUP($B121,'Cost Library'!$A$2:$M$159,9,FALSE),0)</f>
        <v>0</v>
      </c>
      <c r="Q121" s="16"/>
      <c r="R121" s="16" t="s">
        <v>116</v>
      </c>
      <c r="S121" s="17">
        <f t="shared" si="17"/>
        <v>0</v>
      </c>
      <c r="T121" s="18">
        <f>'Project Inputs'!$C$15</f>
        <v>0.1</v>
      </c>
      <c r="U121" s="17">
        <f t="shared" si="18"/>
        <v>0</v>
      </c>
      <c r="V121" s="11" t="s">
        <v>247</v>
      </c>
      <c r="W121" s="14" t="str">
        <f>IFERROR(VLOOKUP($B121,'Cost Library'!$A$2:$M$159,10,FALSE),"")</f>
        <v/>
      </c>
      <c r="X121" s="11"/>
      <c r="Y121" s="11"/>
      <c r="Z121" s="11"/>
      <c r="AA121" s="11"/>
      <c r="AB121" s="11"/>
      <c r="AC121" s="11"/>
      <c r="AD121" s="30"/>
      <c r="AE121" s="31"/>
      <c r="AF121" s="3">
        <f t="shared" si="19"/>
        <v>0</v>
      </c>
      <c r="AG121" s="31"/>
      <c r="AH121" s="31"/>
      <c r="AI121" s="3">
        <f t="shared" si="20"/>
        <v>0</v>
      </c>
      <c r="AJ121" s="31"/>
      <c r="AK121" s="31"/>
      <c r="AL121" s="3">
        <f t="shared" si="21"/>
        <v>0</v>
      </c>
      <c r="AM121" s="3">
        <f>IF($A121&lt;&gt;"Yes",0,IF($R121="Detailed Breakdown",$AF121,$S121*IFERROR(VLOOKUP($B121,'Cost Library'!$A$2:$Q$159,14,FALSE),0.4)))</f>
        <v>0</v>
      </c>
      <c r="AN121" s="3">
        <f>IF($A121&lt;&gt;"Yes",0,IF($R121="Detailed Breakdown",$AI121,$S121*IFERROR(VLOOKUP($B121,'Cost Library'!$A$2:$Q$159,15,FALSE),0.5)))</f>
        <v>0</v>
      </c>
      <c r="AO121" s="3">
        <f>IF($A121&lt;&gt;"Yes",0,IF($R121="Detailed Breakdown",$AJ121+$AK121,$S121*IFERROR(VLOOKUP($B121,'Cost Library'!$A$2:$Q$159,16,FALSE),0.1)))</f>
        <v>0</v>
      </c>
      <c r="AP121" s="3">
        <f t="shared" si="22"/>
        <v>0</v>
      </c>
      <c r="AQ121" s="32">
        <f t="shared" si="23"/>
        <v>0</v>
      </c>
      <c r="AR121" s="32">
        <f t="shared" si="24"/>
        <v>0</v>
      </c>
      <c r="AS121" s="32">
        <f t="shared" si="25"/>
        <v>0</v>
      </c>
      <c r="AT121" s="2" t="str">
        <f t="shared" si="26"/>
        <v/>
      </c>
      <c r="AU121" s="31" t="s">
        <v>116</v>
      </c>
      <c r="AV121" s="3">
        <f t="shared" si="27"/>
        <v>0</v>
      </c>
      <c r="AW121" s="3">
        <f t="shared" si="28"/>
        <v>0</v>
      </c>
      <c r="AX121" s="3">
        <f t="shared" si="29"/>
        <v>0</v>
      </c>
      <c r="AY121" s="3">
        <f t="shared" si="30"/>
        <v>0</v>
      </c>
      <c r="AZ121" s="3">
        <f t="shared" si="31"/>
        <v>0</v>
      </c>
      <c r="BA121" s="32">
        <f t="shared" si="32"/>
        <v>0</v>
      </c>
      <c r="BB121" s="2" t="str">
        <f t="shared" si="33"/>
        <v/>
      </c>
    </row>
    <row r="122" spans="1:54" ht="14.4">
      <c r="A122" s="13" t="s">
        <v>161</v>
      </c>
      <c r="B122" s="13"/>
      <c r="C122" s="14" t="str">
        <f>IFERROR(VLOOKUP($B122,'Cost Library'!$A$2:$M$159,2,FALSE),"")</f>
        <v/>
      </c>
      <c r="D122" s="14" t="str">
        <f>IFERROR(VLOOKUP($B122,'Cost Library'!$A$2:$M$159,3,FALSE),"")</f>
        <v/>
      </c>
      <c r="E122" s="13"/>
      <c r="F122" s="13"/>
      <c r="G122" s="13" t="str">
        <f>IFERROR(VLOOKUP($B122,'Cost Library'!$A$2:$M$159,5,FALSE),"")</f>
        <v/>
      </c>
      <c r="H122" s="13"/>
      <c r="I122" s="13"/>
      <c r="J122" s="13"/>
      <c r="K122" s="13"/>
      <c r="L122" s="13">
        <v>1</v>
      </c>
      <c r="M122" s="14" t="str">
        <f>IFERROR(VLOOKUP($B122,'Cost Library'!$A$2:$M$159,6,FALSE),"")</f>
        <v/>
      </c>
      <c r="N122" s="15">
        <f>IFERROR(VLOOKUP($B122,'Cost Library'!$A$2:$M$159,7,FALSE),0)</f>
        <v>0</v>
      </c>
      <c r="O122" s="15">
        <f>IFERROR(VLOOKUP($B122,'Cost Library'!$A$2:$M$159,8,FALSE),0)</f>
        <v>0</v>
      </c>
      <c r="P122" s="15">
        <f>IFERROR(VLOOKUP($B122,'Cost Library'!$A$2:$M$159,9,FALSE),0)</f>
        <v>0</v>
      </c>
      <c r="Q122" s="16"/>
      <c r="R122" s="16" t="s">
        <v>116</v>
      </c>
      <c r="S122" s="17">
        <f t="shared" si="17"/>
        <v>0</v>
      </c>
      <c r="T122" s="18">
        <f>'Project Inputs'!$C$15</f>
        <v>0.1</v>
      </c>
      <c r="U122" s="17">
        <f t="shared" si="18"/>
        <v>0</v>
      </c>
      <c r="V122" s="11" t="s">
        <v>247</v>
      </c>
      <c r="W122" s="14" t="str">
        <f>IFERROR(VLOOKUP($B122,'Cost Library'!$A$2:$M$159,10,FALSE),"")</f>
        <v/>
      </c>
      <c r="X122" s="11"/>
      <c r="Y122" s="11"/>
      <c r="Z122" s="11"/>
      <c r="AA122" s="11"/>
      <c r="AB122" s="11"/>
      <c r="AC122" s="11"/>
      <c r="AD122" s="30"/>
      <c r="AE122" s="31"/>
      <c r="AF122" s="3">
        <f t="shared" si="19"/>
        <v>0</v>
      </c>
      <c r="AG122" s="31"/>
      <c r="AH122" s="31"/>
      <c r="AI122" s="3">
        <f t="shared" si="20"/>
        <v>0</v>
      </c>
      <c r="AJ122" s="31"/>
      <c r="AK122" s="31"/>
      <c r="AL122" s="3">
        <f t="shared" si="21"/>
        <v>0</v>
      </c>
      <c r="AM122" s="3">
        <f>IF($A122&lt;&gt;"Yes",0,IF($R122="Detailed Breakdown",$AF122,$S122*IFERROR(VLOOKUP($B122,'Cost Library'!$A$2:$Q$159,14,FALSE),0.4)))</f>
        <v>0</v>
      </c>
      <c r="AN122" s="3">
        <f>IF($A122&lt;&gt;"Yes",0,IF($R122="Detailed Breakdown",$AI122,$S122*IFERROR(VLOOKUP($B122,'Cost Library'!$A$2:$Q$159,15,FALSE),0.5)))</f>
        <v>0</v>
      </c>
      <c r="AO122" s="3">
        <f>IF($A122&lt;&gt;"Yes",0,IF($R122="Detailed Breakdown",$AJ122+$AK122,$S122*IFERROR(VLOOKUP($B122,'Cost Library'!$A$2:$Q$159,16,FALSE),0.1)))</f>
        <v>0</v>
      </c>
      <c r="AP122" s="3">
        <f t="shared" si="22"/>
        <v>0</v>
      </c>
      <c r="AQ122" s="32">
        <f t="shared" si="23"/>
        <v>0</v>
      </c>
      <c r="AR122" s="32">
        <f t="shared" si="24"/>
        <v>0</v>
      </c>
      <c r="AS122" s="32">
        <f t="shared" si="25"/>
        <v>0</v>
      </c>
      <c r="AT122" s="2" t="str">
        <f t="shared" si="26"/>
        <v/>
      </c>
      <c r="AU122" s="31" t="s">
        <v>116</v>
      </c>
      <c r="AV122" s="3">
        <f t="shared" si="27"/>
        <v>0</v>
      </c>
      <c r="AW122" s="3">
        <f t="shared" si="28"/>
        <v>0</v>
      </c>
      <c r="AX122" s="3">
        <f t="shared" si="29"/>
        <v>0</v>
      </c>
      <c r="AY122" s="3">
        <f t="shared" si="30"/>
        <v>0</v>
      </c>
      <c r="AZ122" s="3">
        <f t="shared" si="31"/>
        <v>0</v>
      </c>
      <c r="BA122" s="32">
        <f t="shared" si="32"/>
        <v>0</v>
      </c>
      <c r="BB122" s="2" t="str">
        <f t="shared" si="33"/>
        <v/>
      </c>
    </row>
    <row r="123" spans="1:54" ht="14.4">
      <c r="A123" s="13" t="s">
        <v>161</v>
      </c>
      <c r="B123" s="13"/>
      <c r="C123" s="14" t="str">
        <f>IFERROR(VLOOKUP($B123,'Cost Library'!$A$2:$M$159,2,FALSE),"")</f>
        <v/>
      </c>
      <c r="D123" s="14" t="str">
        <f>IFERROR(VLOOKUP($B123,'Cost Library'!$A$2:$M$159,3,FALSE),"")</f>
        <v/>
      </c>
      <c r="E123" s="13"/>
      <c r="F123" s="13"/>
      <c r="G123" s="13" t="str">
        <f>IFERROR(VLOOKUP($B123,'Cost Library'!$A$2:$M$159,5,FALSE),"")</f>
        <v/>
      </c>
      <c r="H123" s="13"/>
      <c r="I123" s="13"/>
      <c r="J123" s="13"/>
      <c r="K123" s="13"/>
      <c r="L123" s="13">
        <v>1</v>
      </c>
      <c r="M123" s="14" t="str">
        <f>IFERROR(VLOOKUP($B123,'Cost Library'!$A$2:$M$159,6,FALSE),"")</f>
        <v/>
      </c>
      <c r="N123" s="15">
        <f>IFERROR(VLOOKUP($B123,'Cost Library'!$A$2:$M$159,7,FALSE),0)</f>
        <v>0</v>
      </c>
      <c r="O123" s="15">
        <f>IFERROR(VLOOKUP($B123,'Cost Library'!$A$2:$M$159,8,FALSE),0)</f>
        <v>0</v>
      </c>
      <c r="P123" s="15">
        <f>IFERROR(VLOOKUP($B123,'Cost Library'!$A$2:$M$159,9,FALSE),0)</f>
        <v>0</v>
      </c>
      <c r="Q123" s="16"/>
      <c r="R123" s="16" t="s">
        <v>116</v>
      </c>
      <c r="S123" s="17">
        <f t="shared" si="17"/>
        <v>0</v>
      </c>
      <c r="T123" s="18">
        <f>'Project Inputs'!$C$15</f>
        <v>0.1</v>
      </c>
      <c r="U123" s="17">
        <f t="shared" si="18"/>
        <v>0</v>
      </c>
      <c r="V123" s="11" t="s">
        <v>247</v>
      </c>
      <c r="W123" s="14" t="str">
        <f>IFERROR(VLOOKUP($B123,'Cost Library'!$A$2:$M$159,10,FALSE),"")</f>
        <v/>
      </c>
      <c r="X123" s="11"/>
      <c r="Y123" s="11"/>
      <c r="Z123" s="11"/>
      <c r="AA123" s="11"/>
      <c r="AB123" s="11"/>
      <c r="AC123" s="11"/>
      <c r="AD123" s="30"/>
      <c r="AE123" s="31"/>
      <c r="AF123" s="3">
        <f t="shared" si="19"/>
        <v>0</v>
      </c>
      <c r="AG123" s="31"/>
      <c r="AH123" s="31"/>
      <c r="AI123" s="3">
        <f t="shared" si="20"/>
        <v>0</v>
      </c>
      <c r="AJ123" s="31"/>
      <c r="AK123" s="31"/>
      <c r="AL123" s="3">
        <f t="shared" si="21"/>
        <v>0</v>
      </c>
      <c r="AM123" s="3">
        <f>IF($A123&lt;&gt;"Yes",0,IF($R123="Detailed Breakdown",$AF123,$S123*IFERROR(VLOOKUP($B123,'Cost Library'!$A$2:$Q$159,14,FALSE),0.4)))</f>
        <v>0</v>
      </c>
      <c r="AN123" s="3">
        <f>IF($A123&lt;&gt;"Yes",0,IF($R123="Detailed Breakdown",$AI123,$S123*IFERROR(VLOOKUP($B123,'Cost Library'!$A$2:$Q$159,15,FALSE),0.5)))</f>
        <v>0</v>
      </c>
      <c r="AO123" s="3">
        <f>IF($A123&lt;&gt;"Yes",0,IF($R123="Detailed Breakdown",$AJ123+$AK123,$S123*IFERROR(VLOOKUP($B123,'Cost Library'!$A$2:$Q$159,16,FALSE),0.1)))</f>
        <v>0</v>
      </c>
      <c r="AP123" s="3">
        <f t="shared" si="22"/>
        <v>0</v>
      </c>
      <c r="AQ123" s="32">
        <f t="shared" si="23"/>
        <v>0</v>
      </c>
      <c r="AR123" s="32">
        <f t="shared" si="24"/>
        <v>0</v>
      </c>
      <c r="AS123" s="32">
        <f t="shared" si="25"/>
        <v>0</v>
      </c>
      <c r="AT123" s="2" t="str">
        <f t="shared" si="26"/>
        <v/>
      </c>
      <c r="AU123" s="31" t="s">
        <v>116</v>
      </c>
      <c r="AV123" s="3">
        <f t="shared" si="27"/>
        <v>0</v>
      </c>
      <c r="AW123" s="3">
        <f t="shared" si="28"/>
        <v>0</v>
      </c>
      <c r="AX123" s="3">
        <f t="shared" si="29"/>
        <v>0</v>
      </c>
      <c r="AY123" s="3">
        <f t="shared" si="30"/>
        <v>0</v>
      </c>
      <c r="AZ123" s="3">
        <f t="shared" si="31"/>
        <v>0</v>
      </c>
      <c r="BA123" s="32">
        <f t="shared" si="32"/>
        <v>0</v>
      </c>
      <c r="BB123" s="2" t="str">
        <f t="shared" si="33"/>
        <v/>
      </c>
    </row>
    <row r="124" spans="1:54" ht="14.4">
      <c r="A124" s="13" t="s">
        <v>161</v>
      </c>
      <c r="B124" s="13"/>
      <c r="C124" s="14" t="str">
        <f>IFERROR(VLOOKUP($B124,'Cost Library'!$A$2:$M$159,2,FALSE),"")</f>
        <v/>
      </c>
      <c r="D124" s="14" t="str">
        <f>IFERROR(VLOOKUP($B124,'Cost Library'!$A$2:$M$159,3,FALSE),"")</f>
        <v/>
      </c>
      <c r="E124" s="13"/>
      <c r="F124" s="13"/>
      <c r="G124" s="13" t="str">
        <f>IFERROR(VLOOKUP($B124,'Cost Library'!$A$2:$M$159,5,FALSE),"")</f>
        <v/>
      </c>
      <c r="H124" s="13"/>
      <c r="I124" s="13"/>
      <c r="J124" s="13"/>
      <c r="K124" s="13"/>
      <c r="L124" s="13">
        <v>1</v>
      </c>
      <c r="M124" s="14" t="str">
        <f>IFERROR(VLOOKUP($B124,'Cost Library'!$A$2:$M$159,6,FALSE),"")</f>
        <v/>
      </c>
      <c r="N124" s="15">
        <f>IFERROR(VLOOKUP($B124,'Cost Library'!$A$2:$M$159,7,FALSE),0)</f>
        <v>0</v>
      </c>
      <c r="O124" s="15">
        <f>IFERROR(VLOOKUP($B124,'Cost Library'!$A$2:$M$159,8,FALSE),0)</f>
        <v>0</v>
      </c>
      <c r="P124" s="15">
        <f>IFERROR(VLOOKUP($B124,'Cost Library'!$A$2:$M$159,9,FALSE),0)</f>
        <v>0</v>
      </c>
      <c r="Q124" s="16"/>
      <c r="R124" s="16" t="s">
        <v>116</v>
      </c>
      <c r="S124" s="17">
        <f t="shared" si="17"/>
        <v>0</v>
      </c>
      <c r="T124" s="18">
        <f>'Project Inputs'!$C$15</f>
        <v>0.1</v>
      </c>
      <c r="U124" s="17">
        <f t="shared" si="18"/>
        <v>0</v>
      </c>
      <c r="V124" s="11" t="s">
        <v>247</v>
      </c>
      <c r="W124" s="14" t="str">
        <f>IFERROR(VLOOKUP($B124,'Cost Library'!$A$2:$M$159,10,FALSE),"")</f>
        <v/>
      </c>
      <c r="X124" s="11"/>
      <c r="Y124" s="11"/>
      <c r="Z124" s="11"/>
      <c r="AA124" s="11"/>
      <c r="AB124" s="11"/>
      <c r="AC124" s="11"/>
      <c r="AD124" s="30"/>
      <c r="AE124" s="31"/>
      <c r="AF124" s="3">
        <f t="shared" si="19"/>
        <v>0</v>
      </c>
      <c r="AG124" s="31"/>
      <c r="AH124" s="31"/>
      <c r="AI124" s="3">
        <f t="shared" si="20"/>
        <v>0</v>
      </c>
      <c r="AJ124" s="31"/>
      <c r="AK124" s="31"/>
      <c r="AL124" s="3">
        <f t="shared" si="21"/>
        <v>0</v>
      </c>
      <c r="AM124" s="3">
        <f>IF($A124&lt;&gt;"Yes",0,IF($R124="Detailed Breakdown",$AF124,$S124*IFERROR(VLOOKUP($B124,'Cost Library'!$A$2:$Q$159,14,FALSE),0.4)))</f>
        <v>0</v>
      </c>
      <c r="AN124" s="3">
        <f>IF($A124&lt;&gt;"Yes",0,IF($R124="Detailed Breakdown",$AI124,$S124*IFERROR(VLOOKUP($B124,'Cost Library'!$A$2:$Q$159,15,FALSE),0.5)))</f>
        <v>0</v>
      </c>
      <c r="AO124" s="3">
        <f>IF($A124&lt;&gt;"Yes",0,IF($R124="Detailed Breakdown",$AJ124+$AK124,$S124*IFERROR(VLOOKUP($B124,'Cost Library'!$A$2:$Q$159,16,FALSE),0.1)))</f>
        <v>0</v>
      </c>
      <c r="AP124" s="3">
        <f t="shared" si="22"/>
        <v>0</v>
      </c>
      <c r="AQ124" s="32">
        <f t="shared" si="23"/>
        <v>0</v>
      </c>
      <c r="AR124" s="32">
        <f t="shared" si="24"/>
        <v>0</v>
      </c>
      <c r="AS124" s="32">
        <f t="shared" si="25"/>
        <v>0</v>
      </c>
      <c r="AT124" s="2" t="str">
        <f t="shared" si="26"/>
        <v/>
      </c>
      <c r="AU124" s="31" t="s">
        <v>116</v>
      </c>
      <c r="AV124" s="3">
        <f t="shared" si="27"/>
        <v>0</v>
      </c>
      <c r="AW124" s="3">
        <f t="shared" si="28"/>
        <v>0</v>
      </c>
      <c r="AX124" s="3">
        <f t="shared" si="29"/>
        <v>0</v>
      </c>
      <c r="AY124" s="3">
        <f t="shared" si="30"/>
        <v>0</v>
      </c>
      <c r="AZ124" s="3">
        <f t="shared" si="31"/>
        <v>0</v>
      </c>
      <c r="BA124" s="32">
        <f t="shared" si="32"/>
        <v>0</v>
      </c>
      <c r="BB124" s="2" t="str">
        <f t="shared" si="33"/>
        <v/>
      </c>
    </row>
    <row r="125" spans="1:54" ht="14.4">
      <c r="A125" s="13" t="s">
        <v>161</v>
      </c>
      <c r="B125" s="13"/>
      <c r="C125" s="14" t="str">
        <f>IFERROR(VLOOKUP($B125,'Cost Library'!$A$2:$M$159,2,FALSE),"")</f>
        <v/>
      </c>
      <c r="D125" s="14" t="str">
        <f>IFERROR(VLOOKUP($B125,'Cost Library'!$A$2:$M$159,3,FALSE),"")</f>
        <v/>
      </c>
      <c r="E125" s="13"/>
      <c r="F125" s="13"/>
      <c r="G125" s="13" t="str">
        <f>IFERROR(VLOOKUP($B125,'Cost Library'!$A$2:$M$159,5,FALSE),"")</f>
        <v/>
      </c>
      <c r="H125" s="13"/>
      <c r="I125" s="13"/>
      <c r="J125" s="13"/>
      <c r="K125" s="13"/>
      <c r="L125" s="13">
        <v>1</v>
      </c>
      <c r="M125" s="14" t="str">
        <f>IFERROR(VLOOKUP($B125,'Cost Library'!$A$2:$M$159,6,FALSE),"")</f>
        <v/>
      </c>
      <c r="N125" s="15">
        <f>IFERROR(VLOOKUP($B125,'Cost Library'!$A$2:$M$159,7,FALSE),0)</f>
        <v>0</v>
      </c>
      <c r="O125" s="15">
        <f>IFERROR(VLOOKUP($B125,'Cost Library'!$A$2:$M$159,8,FALSE),0)</f>
        <v>0</v>
      </c>
      <c r="P125" s="15">
        <f>IFERROR(VLOOKUP($B125,'Cost Library'!$A$2:$M$159,9,FALSE),0)</f>
        <v>0</v>
      </c>
      <c r="Q125" s="16"/>
      <c r="R125" s="16" t="s">
        <v>116</v>
      </c>
      <c r="S125" s="17">
        <f t="shared" si="17"/>
        <v>0</v>
      </c>
      <c r="T125" s="18">
        <f>'Project Inputs'!$C$15</f>
        <v>0.1</v>
      </c>
      <c r="U125" s="17">
        <f t="shared" si="18"/>
        <v>0</v>
      </c>
      <c r="V125" s="11" t="s">
        <v>247</v>
      </c>
      <c r="W125" s="14" t="str">
        <f>IFERROR(VLOOKUP($B125,'Cost Library'!$A$2:$M$159,10,FALSE),"")</f>
        <v/>
      </c>
      <c r="X125" s="11"/>
      <c r="Y125" s="11"/>
      <c r="Z125" s="11"/>
      <c r="AA125" s="11"/>
      <c r="AB125" s="11"/>
      <c r="AC125" s="11"/>
      <c r="AD125" s="30"/>
      <c r="AE125" s="31"/>
      <c r="AF125" s="3">
        <f t="shared" si="19"/>
        <v>0</v>
      </c>
      <c r="AG125" s="31"/>
      <c r="AH125" s="31"/>
      <c r="AI125" s="3">
        <f t="shared" si="20"/>
        <v>0</v>
      </c>
      <c r="AJ125" s="31"/>
      <c r="AK125" s="31"/>
      <c r="AL125" s="3">
        <f t="shared" si="21"/>
        <v>0</v>
      </c>
      <c r="AM125" s="3">
        <f>IF($A125&lt;&gt;"Yes",0,IF($R125="Detailed Breakdown",$AF125,$S125*IFERROR(VLOOKUP($B125,'Cost Library'!$A$2:$Q$159,14,FALSE),0.4)))</f>
        <v>0</v>
      </c>
      <c r="AN125" s="3">
        <f>IF($A125&lt;&gt;"Yes",0,IF($R125="Detailed Breakdown",$AI125,$S125*IFERROR(VLOOKUP($B125,'Cost Library'!$A$2:$Q$159,15,FALSE),0.5)))</f>
        <v>0</v>
      </c>
      <c r="AO125" s="3">
        <f>IF($A125&lt;&gt;"Yes",0,IF($R125="Detailed Breakdown",$AJ125+$AK125,$S125*IFERROR(VLOOKUP($B125,'Cost Library'!$A$2:$Q$159,16,FALSE),0.1)))</f>
        <v>0</v>
      </c>
      <c r="AP125" s="3">
        <f t="shared" si="22"/>
        <v>0</v>
      </c>
      <c r="AQ125" s="32">
        <f t="shared" si="23"/>
        <v>0</v>
      </c>
      <c r="AR125" s="32">
        <f t="shared" si="24"/>
        <v>0</v>
      </c>
      <c r="AS125" s="32">
        <f t="shared" si="25"/>
        <v>0</v>
      </c>
      <c r="AT125" s="2" t="str">
        <f t="shared" si="26"/>
        <v/>
      </c>
      <c r="AU125" s="31" t="s">
        <v>116</v>
      </c>
      <c r="AV125" s="3">
        <f t="shared" si="27"/>
        <v>0</v>
      </c>
      <c r="AW125" s="3">
        <f t="shared" si="28"/>
        <v>0</v>
      </c>
      <c r="AX125" s="3">
        <f t="shared" si="29"/>
        <v>0</v>
      </c>
      <c r="AY125" s="3">
        <f t="shared" si="30"/>
        <v>0</v>
      </c>
      <c r="AZ125" s="3">
        <f t="shared" si="31"/>
        <v>0</v>
      </c>
      <c r="BA125" s="32">
        <f t="shared" si="32"/>
        <v>0</v>
      </c>
      <c r="BB125" s="2" t="str">
        <f t="shared" si="33"/>
        <v/>
      </c>
    </row>
    <row r="126" spans="1:54" ht="14.4">
      <c r="A126" s="13" t="s">
        <v>161</v>
      </c>
      <c r="B126" s="13"/>
      <c r="C126" s="14" t="str">
        <f>IFERROR(VLOOKUP($B126,'Cost Library'!$A$2:$M$159,2,FALSE),"")</f>
        <v/>
      </c>
      <c r="D126" s="14" t="str">
        <f>IFERROR(VLOOKUP($B126,'Cost Library'!$A$2:$M$159,3,FALSE),"")</f>
        <v/>
      </c>
      <c r="E126" s="13"/>
      <c r="F126" s="13"/>
      <c r="G126" s="13" t="str">
        <f>IFERROR(VLOOKUP($B126,'Cost Library'!$A$2:$M$159,5,FALSE),"")</f>
        <v/>
      </c>
      <c r="H126" s="13"/>
      <c r="I126" s="13"/>
      <c r="J126" s="13"/>
      <c r="K126" s="13"/>
      <c r="L126" s="13">
        <v>1</v>
      </c>
      <c r="M126" s="14" t="str">
        <f>IFERROR(VLOOKUP($B126,'Cost Library'!$A$2:$M$159,6,FALSE),"")</f>
        <v/>
      </c>
      <c r="N126" s="15">
        <f>IFERROR(VLOOKUP($B126,'Cost Library'!$A$2:$M$159,7,FALSE),0)</f>
        <v>0</v>
      </c>
      <c r="O126" s="15">
        <f>IFERROR(VLOOKUP($B126,'Cost Library'!$A$2:$M$159,8,FALSE),0)</f>
        <v>0</v>
      </c>
      <c r="P126" s="15">
        <f>IFERROR(VLOOKUP($B126,'Cost Library'!$A$2:$M$159,9,FALSE),0)</f>
        <v>0</v>
      </c>
      <c r="Q126" s="16"/>
      <c r="R126" s="16" t="s">
        <v>116</v>
      </c>
      <c r="S126" s="17">
        <f t="shared" si="17"/>
        <v>0</v>
      </c>
      <c r="T126" s="18">
        <f>'Project Inputs'!$C$15</f>
        <v>0.1</v>
      </c>
      <c r="U126" s="17">
        <f t="shared" si="18"/>
        <v>0</v>
      </c>
      <c r="V126" s="11" t="s">
        <v>247</v>
      </c>
      <c r="W126" s="14" t="str">
        <f>IFERROR(VLOOKUP($B126,'Cost Library'!$A$2:$M$159,10,FALSE),"")</f>
        <v/>
      </c>
      <c r="X126" s="11"/>
      <c r="Y126" s="11"/>
      <c r="Z126" s="11"/>
      <c r="AA126" s="11"/>
      <c r="AB126" s="11"/>
      <c r="AC126" s="11"/>
      <c r="AD126" s="30"/>
      <c r="AE126" s="31"/>
      <c r="AF126" s="3">
        <f t="shared" si="19"/>
        <v>0</v>
      </c>
      <c r="AG126" s="31"/>
      <c r="AH126" s="31"/>
      <c r="AI126" s="3">
        <f t="shared" si="20"/>
        <v>0</v>
      </c>
      <c r="AJ126" s="31"/>
      <c r="AK126" s="31"/>
      <c r="AL126" s="3">
        <f t="shared" si="21"/>
        <v>0</v>
      </c>
      <c r="AM126" s="3">
        <f>IF($A126&lt;&gt;"Yes",0,IF($R126="Detailed Breakdown",$AF126,$S126*IFERROR(VLOOKUP($B126,'Cost Library'!$A$2:$Q$159,14,FALSE),0.4)))</f>
        <v>0</v>
      </c>
      <c r="AN126" s="3">
        <f>IF($A126&lt;&gt;"Yes",0,IF($R126="Detailed Breakdown",$AI126,$S126*IFERROR(VLOOKUP($B126,'Cost Library'!$A$2:$Q$159,15,FALSE),0.5)))</f>
        <v>0</v>
      </c>
      <c r="AO126" s="3">
        <f>IF($A126&lt;&gt;"Yes",0,IF($R126="Detailed Breakdown",$AJ126+$AK126,$S126*IFERROR(VLOOKUP($B126,'Cost Library'!$A$2:$Q$159,16,FALSE),0.1)))</f>
        <v>0</v>
      </c>
      <c r="AP126" s="3">
        <f t="shared" si="22"/>
        <v>0</v>
      </c>
      <c r="AQ126" s="32">
        <f t="shared" si="23"/>
        <v>0</v>
      </c>
      <c r="AR126" s="32">
        <f t="shared" si="24"/>
        <v>0</v>
      </c>
      <c r="AS126" s="32">
        <f t="shared" si="25"/>
        <v>0</v>
      </c>
      <c r="AT126" s="2" t="str">
        <f t="shared" si="26"/>
        <v/>
      </c>
      <c r="AU126" s="31" t="s">
        <v>116</v>
      </c>
      <c r="AV126" s="3">
        <f t="shared" si="27"/>
        <v>0</v>
      </c>
      <c r="AW126" s="3">
        <f t="shared" si="28"/>
        <v>0</v>
      </c>
      <c r="AX126" s="3">
        <f t="shared" si="29"/>
        <v>0</v>
      </c>
      <c r="AY126" s="3">
        <f t="shared" si="30"/>
        <v>0</v>
      </c>
      <c r="AZ126" s="3">
        <f t="shared" si="31"/>
        <v>0</v>
      </c>
      <c r="BA126" s="32">
        <f t="shared" si="32"/>
        <v>0</v>
      </c>
      <c r="BB126" s="2" t="str">
        <f t="shared" si="33"/>
        <v/>
      </c>
    </row>
    <row r="127" spans="1:54" ht="14.4">
      <c r="A127" s="13" t="s">
        <v>161</v>
      </c>
      <c r="B127" s="13"/>
      <c r="C127" s="14" t="str">
        <f>IFERROR(VLOOKUP($B127,'Cost Library'!$A$2:$M$159,2,FALSE),"")</f>
        <v/>
      </c>
      <c r="D127" s="14" t="str">
        <f>IFERROR(VLOOKUP($B127,'Cost Library'!$A$2:$M$159,3,FALSE),"")</f>
        <v/>
      </c>
      <c r="E127" s="13"/>
      <c r="F127" s="13"/>
      <c r="G127" s="13" t="str">
        <f>IFERROR(VLOOKUP($B127,'Cost Library'!$A$2:$M$159,5,FALSE),"")</f>
        <v/>
      </c>
      <c r="H127" s="13"/>
      <c r="I127" s="13"/>
      <c r="J127" s="13"/>
      <c r="K127" s="13"/>
      <c r="L127" s="13">
        <v>1</v>
      </c>
      <c r="M127" s="14" t="str">
        <f>IFERROR(VLOOKUP($B127,'Cost Library'!$A$2:$M$159,6,FALSE),"")</f>
        <v/>
      </c>
      <c r="N127" s="15">
        <f>IFERROR(VLOOKUP($B127,'Cost Library'!$A$2:$M$159,7,FALSE),0)</f>
        <v>0</v>
      </c>
      <c r="O127" s="15">
        <f>IFERROR(VLOOKUP($B127,'Cost Library'!$A$2:$M$159,8,FALSE),0)</f>
        <v>0</v>
      </c>
      <c r="P127" s="15">
        <f>IFERROR(VLOOKUP($B127,'Cost Library'!$A$2:$M$159,9,FALSE),0)</f>
        <v>0</v>
      </c>
      <c r="Q127" s="16"/>
      <c r="R127" s="16" t="s">
        <v>116</v>
      </c>
      <c r="S127" s="17">
        <f t="shared" si="17"/>
        <v>0</v>
      </c>
      <c r="T127" s="18">
        <f>'Project Inputs'!$C$15</f>
        <v>0.1</v>
      </c>
      <c r="U127" s="17">
        <f t="shared" si="18"/>
        <v>0</v>
      </c>
      <c r="V127" s="11" t="s">
        <v>247</v>
      </c>
      <c r="W127" s="14" t="str">
        <f>IFERROR(VLOOKUP($B127,'Cost Library'!$A$2:$M$159,10,FALSE),"")</f>
        <v/>
      </c>
      <c r="X127" s="11"/>
      <c r="Y127" s="11"/>
      <c r="Z127" s="11"/>
      <c r="AA127" s="11"/>
      <c r="AB127" s="11"/>
      <c r="AC127" s="11"/>
      <c r="AD127" s="30"/>
      <c r="AE127" s="31"/>
      <c r="AF127" s="3">
        <f t="shared" si="19"/>
        <v>0</v>
      </c>
      <c r="AG127" s="31"/>
      <c r="AH127" s="31"/>
      <c r="AI127" s="3">
        <f t="shared" si="20"/>
        <v>0</v>
      </c>
      <c r="AJ127" s="31"/>
      <c r="AK127" s="31"/>
      <c r="AL127" s="3">
        <f t="shared" si="21"/>
        <v>0</v>
      </c>
      <c r="AM127" s="3">
        <f>IF($A127&lt;&gt;"Yes",0,IF($R127="Detailed Breakdown",$AF127,$S127*IFERROR(VLOOKUP($B127,'Cost Library'!$A$2:$Q$159,14,FALSE),0.4)))</f>
        <v>0</v>
      </c>
      <c r="AN127" s="3">
        <f>IF($A127&lt;&gt;"Yes",0,IF($R127="Detailed Breakdown",$AI127,$S127*IFERROR(VLOOKUP($B127,'Cost Library'!$A$2:$Q$159,15,FALSE),0.5)))</f>
        <v>0</v>
      </c>
      <c r="AO127" s="3">
        <f>IF($A127&lt;&gt;"Yes",0,IF($R127="Detailed Breakdown",$AJ127+$AK127,$S127*IFERROR(VLOOKUP($B127,'Cost Library'!$A$2:$Q$159,16,FALSE),0.1)))</f>
        <v>0</v>
      </c>
      <c r="AP127" s="3">
        <f t="shared" si="22"/>
        <v>0</v>
      </c>
      <c r="AQ127" s="32">
        <f t="shared" si="23"/>
        <v>0</v>
      </c>
      <c r="AR127" s="32">
        <f t="shared" si="24"/>
        <v>0</v>
      </c>
      <c r="AS127" s="32">
        <f t="shared" si="25"/>
        <v>0</v>
      </c>
      <c r="AT127" s="2" t="str">
        <f t="shared" si="26"/>
        <v/>
      </c>
      <c r="AU127" s="31" t="s">
        <v>116</v>
      </c>
      <c r="AV127" s="3">
        <f t="shared" si="27"/>
        <v>0</v>
      </c>
      <c r="AW127" s="3">
        <f t="shared" si="28"/>
        <v>0</v>
      </c>
      <c r="AX127" s="3">
        <f t="shared" si="29"/>
        <v>0</v>
      </c>
      <c r="AY127" s="3">
        <f t="shared" si="30"/>
        <v>0</v>
      </c>
      <c r="AZ127" s="3">
        <f t="shared" si="31"/>
        <v>0</v>
      </c>
      <c r="BA127" s="32">
        <f t="shared" si="32"/>
        <v>0</v>
      </c>
      <c r="BB127" s="2" t="str">
        <f t="shared" si="33"/>
        <v/>
      </c>
    </row>
    <row r="128" spans="1:54" ht="14.4">
      <c r="A128" s="13" t="s">
        <v>161</v>
      </c>
      <c r="B128" s="13"/>
      <c r="C128" s="14" t="str">
        <f>IFERROR(VLOOKUP($B128,'Cost Library'!$A$2:$M$159,2,FALSE),"")</f>
        <v/>
      </c>
      <c r="D128" s="14" t="str">
        <f>IFERROR(VLOOKUP($B128,'Cost Library'!$A$2:$M$159,3,FALSE),"")</f>
        <v/>
      </c>
      <c r="E128" s="13"/>
      <c r="F128" s="13"/>
      <c r="G128" s="13" t="str">
        <f>IFERROR(VLOOKUP($B128,'Cost Library'!$A$2:$M$159,5,FALSE),"")</f>
        <v/>
      </c>
      <c r="H128" s="13"/>
      <c r="I128" s="13"/>
      <c r="J128" s="13"/>
      <c r="K128" s="13"/>
      <c r="L128" s="13">
        <v>1</v>
      </c>
      <c r="M128" s="14" t="str">
        <f>IFERROR(VLOOKUP($B128,'Cost Library'!$A$2:$M$159,6,FALSE),"")</f>
        <v/>
      </c>
      <c r="N128" s="15">
        <f>IFERROR(VLOOKUP($B128,'Cost Library'!$A$2:$M$159,7,FALSE),0)</f>
        <v>0</v>
      </c>
      <c r="O128" s="15">
        <f>IFERROR(VLOOKUP($B128,'Cost Library'!$A$2:$M$159,8,FALSE),0)</f>
        <v>0</v>
      </c>
      <c r="P128" s="15">
        <f>IFERROR(VLOOKUP($B128,'Cost Library'!$A$2:$M$159,9,FALSE),0)</f>
        <v>0</v>
      </c>
      <c r="Q128" s="16"/>
      <c r="R128" s="16" t="s">
        <v>116</v>
      </c>
      <c r="S128" s="17">
        <f t="shared" si="17"/>
        <v>0</v>
      </c>
      <c r="T128" s="18">
        <f>'Project Inputs'!$C$15</f>
        <v>0.1</v>
      </c>
      <c r="U128" s="17">
        <f t="shared" si="18"/>
        <v>0</v>
      </c>
      <c r="V128" s="11" t="s">
        <v>247</v>
      </c>
      <c r="W128" s="14" t="str">
        <f>IFERROR(VLOOKUP($B128,'Cost Library'!$A$2:$M$159,10,FALSE),"")</f>
        <v/>
      </c>
      <c r="X128" s="11"/>
      <c r="Y128" s="11"/>
      <c r="Z128" s="11"/>
      <c r="AA128" s="11"/>
      <c r="AB128" s="11"/>
      <c r="AC128" s="11"/>
      <c r="AD128" s="30"/>
      <c r="AE128" s="31"/>
      <c r="AF128" s="3">
        <f t="shared" si="19"/>
        <v>0</v>
      </c>
      <c r="AG128" s="31"/>
      <c r="AH128" s="31"/>
      <c r="AI128" s="3">
        <f t="shared" si="20"/>
        <v>0</v>
      </c>
      <c r="AJ128" s="31"/>
      <c r="AK128" s="31"/>
      <c r="AL128" s="3">
        <f t="shared" si="21"/>
        <v>0</v>
      </c>
      <c r="AM128" s="3">
        <f>IF($A128&lt;&gt;"Yes",0,IF($R128="Detailed Breakdown",$AF128,$S128*IFERROR(VLOOKUP($B128,'Cost Library'!$A$2:$Q$159,14,FALSE),0.4)))</f>
        <v>0</v>
      </c>
      <c r="AN128" s="3">
        <f>IF($A128&lt;&gt;"Yes",0,IF($R128="Detailed Breakdown",$AI128,$S128*IFERROR(VLOOKUP($B128,'Cost Library'!$A$2:$Q$159,15,FALSE),0.5)))</f>
        <v>0</v>
      </c>
      <c r="AO128" s="3">
        <f>IF($A128&lt;&gt;"Yes",0,IF($R128="Detailed Breakdown",$AJ128+$AK128,$S128*IFERROR(VLOOKUP($B128,'Cost Library'!$A$2:$Q$159,16,FALSE),0.1)))</f>
        <v>0</v>
      </c>
      <c r="AP128" s="3">
        <f t="shared" si="22"/>
        <v>0</v>
      </c>
      <c r="AQ128" s="32">
        <f t="shared" si="23"/>
        <v>0</v>
      </c>
      <c r="AR128" s="32">
        <f t="shared" si="24"/>
        <v>0</v>
      </c>
      <c r="AS128" s="32">
        <f t="shared" si="25"/>
        <v>0</v>
      </c>
      <c r="AT128" s="2" t="str">
        <f t="shared" si="26"/>
        <v/>
      </c>
      <c r="AU128" s="31" t="s">
        <v>116</v>
      </c>
      <c r="AV128" s="3">
        <f t="shared" si="27"/>
        <v>0</v>
      </c>
      <c r="AW128" s="3">
        <f t="shared" si="28"/>
        <v>0</v>
      </c>
      <c r="AX128" s="3">
        <f t="shared" si="29"/>
        <v>0</v>
      </c>
      <c r="AY128" s="3">
        <f t="shared" si="30"/>
        <v>0</v>
      </c>
      <c r="AZ128" s="3">
        <f t="shared" si="31"/>
        <v>0</v>
      </c>
      <c r="BA128" s="32">
        <f t="shared" si="32"/>
        <v>0</v>
      </c>
      <c r="BB128" s="2" t="str">
        <f t="shared" si="33"/>
        <v/>
      </c>
    </row>
    <row r="129" spans="1:54" ht="14.4">
      <c r="A129" s="13" t="s">
        <v>161</v>
      </c>
      <c r="B129" s="13"/>
      <c r="C129" s="14" t="str">
        <f>IFERROR(VLOOKUP($B129,'Cost Library'!$A$2:$M$159,2,FALSE),"")</f>
        <v/>
      </c>
      <c r="D129" s="14" t="str">
        <f>IFERROR(VLOOKUP($B129,'Cost Library'!$A$2:$M$159,3,FALSE),"")</f>
        <v/>
      </c>
      <c r="E129" s="13"/>
      <c r="F129" s="13"/>
      <c r="G129" s="13" t="str">
        <f>IFERROR(VLOOKUP($B129,'Cost Library'!$A$2:$M$159,5,FALSE),"")</f>
        <v/>
      </c>
      <c r="H129" s="13"/>
      <c r="I129" s="13"/>
      <c r="J129" s="13"/>
      <c r="K129" s="13"/>
      <c r="L129" s="13">
        <v>1</v>
      </c>
      <c r="M129" s="14" t="str">
        <f>IFERROR(VLOOKUP($B129,'Cost Library'!$A$2:$M$159,6,FALSE),"")</f>
        <v/>
      </c>
      <c r="N129" s="15">
        <f>IFERROR(VLOOKUP($B129,'Cost Library'!$A$2:$M$159,7,FALSE),0)</f>
        <v>0</v>
      </c>
      <c r="O129" s="15">
        <f>IFERROR(VLOOKUP($B129,'Cost Library'!$A$2:$M$159,8,FALSE),0)</f>
        <v>0</v>
      </c>
      <c r="P129" s="15">
        <f>IFERROR(VLOOKUP($B129,'Cost Library'!$A$2:$M$159,9,FALSE),0)</f>
        <v>0</v>
      </c>
      <c r="Q129" s="16"/>
      <c r="R129" s="16" t="s">
        <v>116</v>
      </c>
      <c r="S129" s="17">
        <f t="shared" si="17"/>
        <v>0</v>
      </c>
      <c r="T129" s="18">
        <f>'Project Inputs'!$C$15</f>
        <v>0.1</v>
      </c>
      <c r="U129" s="17">
        <f t="shared" si="18"/>
        <v>0</v>
      </c>
      <c r="V129" s="11" t="s">
        <v>247</v>
      </c>
      <c r="W129" s="14" t="str">
        <f>IFERROR(VLOOKUP($B129,'Cost Library'!$A$2:$M$159,10,FALSE),"")</f>
        <v/>
      </c>
      <c r="X129" s="11"/>
      <c r="Y129" s="11"/>
      <c r="Z129" s="11"/>
      <c r="AA129" s="11"/>
      <c r="AB129" s="11"/>
      <c r="AC129" s="11"/>
      <c r="AD129" s="30"/>
      <c r="AE129" s="31"/>
      <c r="AF129" s="3">
        <f t="shared" si="19"/>
        <v>0</v>
      </c>
      <c r="AG129" s="31"/>
      <c r="AH129" s="31"/>
      <c r="AI129" s="3">
        <f t="shared" si="20"/>
        <v>0</v>
      </c>
      <c r="AJ129" s="31"/>
      <c r="AK129" s="31"/>
      <c r="AL129" s="3">
        <f t="shared" si="21"/>
        <v>0</v>
      </c>
      <c r="AM129" s="3">
        <f>IF($A129&lt;&gt;"Yes",0,IF($R129="Detailed Breakdown",$AF129,$S129*IFERROR(VLOOKUP($B129,'Cost Library'!$A$2:$Q$159,14,FALSE),0.4)))</f>
        <v>0</v>
      </c>
      <c r="AN129" s="3">
        <f>IF($A129&lt;&gt;"Yes",0,IF($R129="Detailed Breakdown",$AI129,$S129*IFERROR(VLOOKUP($B129,'Cost Library'!$A$2:$Q$159,15,FALSE),0.5)))</f>
        <v>0</v>
      </c>
      <c r="AO129" s="3">
        <f>IF($A129&lt;&gt;"Yes",0,IF($R129="Detailed Breakdown",$AJ129+$AK129,$S129*IFERROR(VLOOKUP($B129,'Cost Library'!$A$2:$Q$159,16,FALSE),0.1)))</f>
        <v>0</v>
      </c>
      <c r="AP129" s="3">
        <f t="shared" si="22"/>
        <v>0</v>
      </c>
      <c r="AQ129" s="32">
        <f t="shared" si="23"/>
        <v>0</v>
      </c>
      <c r="AR129" s="32">
        <f t="shared" si="24"/>
        <v>0</v>
      </c>
      <c r="AS129" s="32">
        <f t="shared" si="25"/>
        <v>0</v>
      </c>
      <c r="AT129" s="2" t="str">
        <f t="shared" si="26"/>
        <v/>
      </c>
      <c r="AU129" s="31" t="s">
        <v>116</v>
      </c>
      <c r="AV129" s="3">
        <f t="shared" si="27"/>
        <v>0</v>
      </c>
      <c r="AW129" s="3">
        <f t="shared" si="28"/>
        <v>0</v>
      </c>
      <c r="AX129" s="3">
        <f t="shared" si="29"/>
        <v>0</v>
      </c>
      <c r="AY129" s="3">
        <f t="shared" si="30"/>
        <v>0</v>
      </c>
      <c r="AZ129" s="3">
        <f t="shared" si="31"/>
        <v>0</v>
      </c>
      <c r="BA129" s="32">
        <f t="shared" si="32"/>
        <v>0</v>
      </c>
      <c r="BB129" s="2" t="str">
        <f t="shared" si="33"/>
        <v/>
      </c>
    </row>
    <row r="130" spans="1:54" ht="14.4">
      <c r="A130" s="13" t="s">
        <v>161</v>
      </c>
      <c r="B130" s="13"/>
      <c r="C130" s="14" t="str">
        <f>IFERROR(VLOOKUP($B130,'Cost Library'!$A$2:$M$159,2,FALSE),"")</f>
        <v/>
      </c>
      <c r="D130" s="14" t="str">
        <f>IFERROR(VLOOKUP($B130,'Cost Library'!$A$2:$M$159,3,FALSE),"")</f>
        <v/>
      </c>
      <c r="E130" s="13"/>
      <c r="F130" s="13"/>
      <c r="G130" s="13" t="str">
        <f>IFERROR(VLOOKUP($B130,'Cost Library'!$A$2:$M$159,5,FALSE),"")</f>
        <v/>
      </c>
      <c r="H130" s="13"/>
      <c r="I130" s="13"/>
      <c r="J130" s="13"/>
      <c r="K130" s="13"/>
      <c r="L130" s="13">
        <v>1</v>
      </c>
      <c r="M130" s="14" t="str">
        <f>IFERROR(VLOOKUP($B130,'Cost Library'!$A$2:$M$159,6,FALSE),"")</f>
        <v/>
      </c>
      <c r="N130" s="15">
        <f>IFERROR(VLOOKUP($B130,'Cost Library'!$A$2:$M$159,7,FALSE),0)</f>
        <v>0</v>
      </c>
      <c r="O130" s="15">
        <f>IFERROR(VLOOKUP($B130,'Cost Library'!$A$2:$M$159,8,FALSE),0)</f>
        <v>0</v>
      </c>
      <c r="P130" s="15">
        <f>IFERROR(VLOOKUP($B130,'Cost Library'!$A$2:$M$159,9,FALSE),0)</f>
        <v>0</v>
      </c>
      <c r="Q130" s="16"/>
      <c r="R130" s="16" t="s">
        <v>116</v>
      </c>
      <c r="S130" s="17">
        <f t="shared" ref="S130:S193" si="34">IF($A130&lt;&gt;"Yes",0,IF($R130="Detailed Breakdown",$AL130,IF($R130="Contractor Quote",$Q130,IF($R130="Low",$L130*$N130,IF($R130="High",$L130*$P130,$L130*$O130)))))</f>
        <v>0</v>
      </c>
      <c r="T130" s="18">
        <f>'Project Inputs'!$C$15</f>
        <v>0.1</v>
      </c>
      <c r="U130" s="17">
        <f t="shared" ref="U130:U193" si="35">IF($A130&lt;&gt;"Yes",0,$S130*(1+$T130))</f>
        <v>0</v>
      </c>
      <c r="V130" s="11" t="s">
        <v>247</v>
      </c>
      <c r="W130" s="14" t="str">
        <f>IFERROR(VLOOKUP($B130,'Cost Library'!$A$2:$M$159,10,FALSE),"")</f>
        <v/>
      </c>
      <c r="X130" s="11"/>
      <c r="Y130" s="11"/>
      <c r="Z130" s="11"/>
      <c r="AA130" s="11"/>
      <c r="AB130" s="11"/>
      <c r="AC130" s="11"/>
      <c r="AD130" s="30"/>
      <c r="AE130" s="31"/>
      <c r="AF130" s="3">
        <f t="shared" ref="AF130:AF193" si="36">IF(OR(AD130="",AE130=""),0,AD130*AE130)</f>
        <v>0</v>
      </c>
      <c r="AG130" s="31"/>
      <c r="AH130" s="31"/>
      <c r="AI130" s="3">
        <f t="shared" ref="AI130:AI193" si="37">IF(OR(AG130="",AH130=""),0,AG130*AH130)</f>
        <v>0</v>
      </c>
      <c r="AJ130" s="31"/>
      <c r="AK130" s="31"/>
      <c r="AL130" s="3">
        <f t="shared" ref="AL130:AL193" si="38">SUM(AF130,AI130,AJ130,AK130)</f>
        <v>0</v>
      </c>
      <c r="AM130" s="3">
        <f>IF($A130&lt;&gt;"Yes",0,IF($R130="Detailed Breakdown",$AF130,$S130*IFERROR(VLOOKUP($B130,'Cost Library'!$A$2:$Q$159,14,FALSE),0.4)))</f>
        <v>0</v>
      </c>
      <c r="AN130" s="3">
        <f>IF($A130&lt;&gt;"Yes",0,IF($R130="Detailed Breakdown",$AI130,$S130*IFERROR(VLOOKUP($B130,'Cost Library'!$A$2:$Q$159,15,FALSE),0.5)))</f>
        <v>0</v>
      </c>
      <c r="AO130" s="3">
        <f>IF($A130&lt;&gt;"Yes",0,IF($R130="Detailed Breakdown",$AJ130+$AK130,$S130*IFERROR(VLOOKUP($B130,'Cost Library'!$A$2:$Q$159,16,FALSE),0.1)))</f>
        <v>0</v>
      </c>
      <c r="AP130" s="3">
        <f t="shared" ref="AP130:AP193" si="39">IF($A130&lt;&gt;"Yes",0,$U130-$S130)</f>
        <v>0</v>
      </c>
      <c r="AQ130" s="32">
        <f t="shared" ref="AQ130:AQ193" si="40">IF($S130=0,0,$AM130/$S130)</f>
        <v>0</v>
      </c>
      <c r="AR130" s="32">
        <f t="shared" ref="AR130:AR193" si="41">IF($S130=0,0,$AN130/$S130)</f>
        <v>0</v>
      </c>
      <c r="AS130" s="32">
        <f t="shared" ref="AS130:AS193" si="42">IF($S130=0,0,$AO130/$S130)</f>
        <v>0</v>
      </c>
      <c r="AT130" s="2" t="str">
        <f t="shared" ref="AT130:AT193" si="43">IF($A130&lt;&gt;"Yes","",IF($R130="Detailed Breakdown","Detailed input",IF($R130="Contractor Quote","Estimated allocation - request vendor split","Planning allocation")))</f>
        <v/>
      </c>
      <c r="AU130" s="31" t="s">
        <v>116</v>
      </c>
      <c r="AV130" s="3">
        <f t="shared" ref="AV130:AV193" si="44">IF($A130&lt;&gt;"Yes",0,IF($AU130="Low",$L130*$N130,IF($AU130="High",$L130*$P130,$L130*$O130)))</f>
        <v>0</v>
      </c>
      <c r="AW130" s="3">
        <f t="shared" ref="AW130:AW193" si="45">IF($A130&lt;&gt;"Yes",0,$AV130*(1+$T130))</f>
        <v>0</v>
      </c>
      <c r="AX130" s="3">
        <f t="shared" ref="AX130:AX193" si="46">IF(AND($A130="Yes",$AL130&gt;0),$AL130*(1+$T130),0)</f>
        <v>0</v>
      </c>
      <c r="AY130" s="3">
        <f t="shared" ref="AY130:AY193" si="47">IF($AX130&gt;0,$AW130,0)</f>
        <v>0</v>
      </c>
      <c r="AZ130" s="3">
        <f t="shared" ref="AZ130:AZ193" si="48">IF($AX130&gt;0,$AX130-$AY130,0)</f>
        <v>0</v>
      </c>
      <c r="BA130" s="32">
        <f t="shared" ref="BA130:BA193" si="49">IF($AY130=0,0,$AZ130/$AY130)</f>
        <v>0</v>
      </c>
      <c r="BB130" s="2" t="str">
        <f t="shared" ref="BB130:BB193" si="50">IF($A130&lt;&gt;"Yes","",IF($Q130&gt;0,"Quoted",IF($AL130&gt;0,"Detailed","Ballpark")))</f>
        <v/>
      </c>
    </row>
    <row r="131" spans="1:54" ht="14.4">
      <c r="A131" s="13" t="s">
        <v>161</v>
      </c>
      <c r="B131" s="13"/>
      <c r="C131" s="14" t="str">
        <f>IFERROR(VLOOKUP($B131,'Cost Library'!$A$2:$M$159,2,FALSE),"")</f>
        <v/>
      </c>
      <c r="D131" s="14" t="str">
        <f>IFERROR(VLOOKUP($B131,'Cost Library'!$A$2:$M$159,3,FALSE),"")</f>
        <v/>
      </c>
      <c r="E131" s="13"/>
      <c r="F131" s="13"/>
      <c r="G131" s="13" t="str">
        <f>IFERROR(VLOOKUP($B131,'Cost Library'!$A$2:$M$159,5,FALSE),"")</f>
        <v/>
      </c>
      <c r="H131" s="13"/>
      <c r="I131" s="13"/>
      <c r="J131" s="13"/>
      <c r="K131" s="13"/>
      <c r="L131" s="13">
        <v>1</v>
      </c>
      <c r="M131" s="14" t="str">
        <f>IFERROR(VLOOKUP($B131,'Cost Library'!$A$2:$M$159,6,FALSE),"")</f>
        <v/>
      </c>
      <c r="N131" s="15">
        <f>IFERROR(VLOOKUP($B131,'Cost Library'!$A$2:$M$159,7,FALSE),0)</f>
        <v>0</v>
      </c>
      <c r="O131" s="15">
        <f>IFERROR(VLOOKUP($B131,'Cost Library'!$A$2:$M$159,8,FALSE),0)</f>
        <v>0</v>
      </c>
      <c r="P131" s="15">
        <f>IFERROR(VLOOKUP($B131,'Cost Library'!$A$2:$M$159,9,FALSE),0)</f>
        <v>0</v>
      </c>
      <c r="Q131" s="16"/>
      <c r="R131" s="16" t="s">
        <v>116</v>
      </c>
      <c r="S131" s="17">
        <f t="shared" si="34"/>
        <v>0</v>
      </c>
      <c r="T131" s="18">
        <f>'Project Inputs'!$C$15</f>
        <v>0.1</v>
      </c>
      <c r="U131" s="17">
        <f t="shared" si="35"/>
        <v>0</v>
      </c>
      <c r="V131" s="11" t="s">
        <v>247</v>
      </c>
      <c r="W131" s="14" t="str">
        <f>IFERROR(VLOOKUP($B131,'Cost Library'!$A$2:$M$159,10,FALSE),"")</f>
        <v/>
      </c>
      <c r="X131" s="11"/>
      <c r="Y131" s="11"/>
      <c r="Z131" s="11"/>
      <c r="AA131" s="11"/>
      <c r="AB131" s="11"/>
      <c r="AC131" s="11"/>
      <c r="AD131" s="30"/>
      <c r="AE131" s="31"/>
      <c r="AF131" s="3">
        <f t="shared" si="36"/>
        <v>0</v>
      </c>
      <c r="AG131" s="31"/>
      <c r="AH131" s="31"/>
      <c r="AI131" s="3">
        <f t="shared" si="37"/>
        <v>0</v>
      </c>
      <c r="AJ131" s="31"/>
      <c r="AK131" s="31"/>
      <c r="AL131" s="3">
        <f t="shared" si="38"/>
        <v>0</v>
      </c>
      <c r="AM131" s="3">
        <f>IF($A131&lt;&gt;"Yes",0,IF($R131="Detailed Breakdown",$AF131,$S131*IFERROR(VLOOKUP($B131,'Cost Library'!$A$2:$Q$159,14,FALSE),0.4)))</f>
        <v>0</v>
      </c>
      <c r="AN131" s="3">
        <f>IF($A131&lt;&gt;"Yes",0,IF($R131="Detailed Breakdown",$AI131,$S131*IFERROR(VLOOKUP($B131,'Cost Library'!$A$2:$Q$159,15,FALSE),0.5)))</f>
        <v>0</v>
      </c>
      <c r="AO131" s="3">
        <f>IF($A131&lt;&gt;"Yes",0,IF($R131="Detailed Breakdown",$AJ131+$AK131,$S131*IFERROR(VLOOKUP($B131,'Cost Library'!$A$2:$Q$159,16,FALSE),0.1)))</f>
        <v>0</v>
      </c>
      <c r="AP131" s="3">
        <f t="shared" si="39"/>
        <v>0</v>
      </c>
      <c r="AQ131" s="32">
        <f t="shared" si="40"/>
        <v>0</v>
      </c>
      <c r="AR131" s="32">
        <f t="shared" si="41"/>
        <v>0</v>
      </c>
      <c r="AS131" s="32">
        <f t="shared" si="42"/>
        <v>0</v>
      </c>
      <c r="AT131" s="2" t="str">
        <f t="shared" si="43"/>
        <v/>
      </c>
      <c r="AU131" s="31" t="s">
        <v>116</v>
      </c>
      <c r="AV131" s="3">
        <f t="shared" si="44"/>
        <v>0</v>
      </c>
      <c r="AW131" s="3">
        <f t="shared" si="45"/>
        <v>0</v>
      </c>
      <c r="AX131" s="3">
        <f t="shared" si="46"/>
        <v>0</v>
      </c>
      <c r="AY131" s="3">
        <f t="shared" si="47"/>
        <v>0</v>
      </c>
      <c r="AZ131" s="3">
        <f t="shared" si="48"/>
        <v>0</v>
      </c>
      <c r="BA131" s="32">
        <f t="shared" si="49"/>
        <v>0</v>
      </c>
      <c r="BB131" s="2" t="str">
        <f t="shared" si="50"/>
        <v/>
      </c>
    </row>
    <row r="132" spans="1:54" ht="14.4">
      <c r="A132" s="13" t="s">
        <v>161</v>
      </c>
      <c r="B132" s="13"/>
      <c r="C132" s="14" t="str">
        <f>IFERROR(VLOOKUP($B132,'Cost Library'!$A$2:$M$159,2,FALSE),"")</f>
        <v/>
      </c>
      <c r="D132" s="14" t="str">
        <f>IFERROR(VLOOKUP($B132,'Cost Library'!$A$2:$M$159,3,FALSE),"")</f>
        <v/>
      </c>
      <c r="E132" s="13"/>
      <c r="F132" s="13"/>
      <c r="G132" s="13" t="str">
        <f>IFERROR(VLOOKUP($B132,'Cost Library'!$A$2:$M$159,5,FALSE),"")</f>
        <v/>
      </c>
      <c r="H132" s="13"/>
      <c r="I132" s="13"/>
      <c r="J132" s="13"/>
      <c r="K132" s="13"/>
      <c r="L132" s="13">
        <v>1</v>
      </c>
      <c r="M132" s="14" t="str">
        <f>IFERROR(VLOOKUP($B132,'Cost Library'!$A$2:$M$159,6,FALSE),"")</f>
        <v/>
      </c>
      <c r="N132" s="15">
        <f>IFERROR(VLOOKUP($B132,'Cost Library'!$A$2:$M$159,7,FALSE),0)</f>
        <v>0</v>
      </c>
      <c r="O132" s="15">
        <f>IFERROR(VLOOKUP($B132,'Cost Library'!$A$2:$M$159,8,FALSE),0)</f>
        <v>0</v>
      </c>
      <c r="P132" s="15">
        <f>IFERROR(VLOOKUP($B132,'Cost Library'!$A$2:$M$159,9,FALSE),0)</f>
        <v>0</v>
      </c>
      <c r="Q132" s="16"/>
      <c r="R132" s="16" t="s">
        <v>116</v>
      </c>
      <c r="S132" s="17">
        <f t="shared" si="34"/>
        <v>0</v>
      </c>
      <c r="T132" s="18">
        <f>'Project Inputs'!$C$15</f>
        <v>0.1</v>
      </c>
      <c r="U132" s="17">
        <f t="shared" si="35"/>
        <v>0</v>
      </c>
      <c r="V132" s="11" t="s">
        <v>247</v>
      </c>
      <c r="W132" s="14" t="str">
        <f>IFERROR(VLOOKUP($B132,'Cost Library'!$A$2:$M$159,10,FALSE),"")</f>
        <v/>
      </c>
      <c r="X132" s="11"/>
      <c r="Y132" s="11"/>
      <c r="Z132" s="11"/>
      <c r="AA132" s="11"/>
      <c r="AB132" s="11"/>
      <c r="AC132" s="11"/>
      <c r="AD132" s="30"/>
      <c r="AE132" s="31"/>
      <c r="AF132" s="3">
        <f t="shared" si="36"/>
        <v>0</v>
      </c>
      <c r="AG132" s="31"/>
      <c r="AH132" s="31"/>
      <c r="AI132" s="3">
        <f t="shared" si="37"/>
        <v>0</v>
      </c>
      <c r="AJ132" s="31"/>
      <c r="AK132" s="31"/>
      <c r="AL132" s="3">
        <f t="shared" si="38"/>
        <v>0</v>
      </c>
      <c r="AM132" s="3">
        <f>IF($A132&lt;&gt;"Yes",0,IF($R132="Detailed Breakdown",$AF132,$S132*IFERROR(VLOOKUP($B132,'Cost Library'!$A$2:$Q$159,14,FALSE),0.4)))</f>
        <v>0</v>
      </c>
      <c r="AN132" s="3">
        <f>IF($A132&lt;&gt;"Yes",0,IF($R132="Detailed Breakdown",$AI132,$S132*IFERROR(VLOOKUP($B132,'Cost Library'!$A$2:$Q$159,15,FALSE),0.5)))</f>
        <v>0</v>
      </c>
      <c r="AO132" s="3">
        <f>IF($A132&lt;&gt;"Yes",0,IF($R132="Detailed Breakdown",$AJ132+$AK132,$S132*IFERROR(VLOOKUP($B132,'Cost Library'!$A$2:$Q$159,16,FALSE),0.1)))</f>
        <v>0</v>
      </c>
      <c r="AP132" s="3">
        <f t="shared" si="39"/>
        <v>0</v>
      </c>
      <c r="AQ132" s="32">
        <f t="shared" si="40"/>
        <v>0</v>
      </c>
      <c r="AR132" s="32">
        <f t="shared" si="41"/>
        <v>0</v>
      </c>
      <c r="AS132" s="32">
        <f t="shared" si="42"/>
        <v>0</v>
      </c>
      <c r="AT132" s="2" t="str">
        <f t="shared" si="43"/>
        <v/>
      </c>
      <c r="AU132" s="31" t="s">
        <v>116</v>
      </c>
      <c r="AV132" s="3">
        <f t="shared" si="44"/>
        <v>0</v>
      </c>
      <c r="AW132" s="3">
        <f t="shared" si="45"/>
        <v>0</v>
      </c>
      <c r="AX132" s="3">
        <f t="shared" si="46"/>
        <v>0</v>
      </c>
      <c r="AY132" s="3">
        <f t="shared" si="47"/>
        <v>0</v>
      </c>
      <c r="AZ132" s="3">
        <f t="shared" si="48"/>
        <v>0</v>
      </c>
      <c r="BA132" s="32">
        <f t="shared" si="49"/>
        <v>0</v>
      </c>
      <c r="BB132" s="2" t="str">
        <f t="shared" si="50"/>
        <v/>
      </c>
    </row>
    <row r="133" spans="1:54" ht="14.4">
      <c r="A133" s="13" t="s">
        <v>161</v>
      </c>
      <c r="B133" s="13"/>
      <c r="C133" s="14" t="str">
        <f>IFERROR(VLOOKUP($B133,'Cost Library'!$A$2:$M$159,2,FALSE),"")</f>
        <v/>
      </c>
      <c r="D133" s="14" t="str">
        <f>IFERROR(VLOOKUP($B133,'Cost Library'!$A$2:$M$159,3,FALSE),"")</f>
        <v/>
      </c>
      <c r="E133" s="13"/>
      <c r="F133" s="13"/>
      <c r="G133" s="13" t="str">
        <f>IFERROR(VLOOKUP($B133,'Cost Library'!$A$2:$M$159,5,FALSE),"")</f>
        <v/>
      </c>
      <c r="H133" s="13"/>
      <c r="I133" s="13"/>
      <c r="J133" s="13"/>
      <c r="K133" s="13"/>
      <c r="L133" s="13">
        <v>1</v>
      </c>
      <c r="M133" s="14" t="str">
        <f>IFERROR(VLOOKUP($B133,'Cost Library'!$A$2:$M$159,6,FALSE),"")</f>
        <v/>
      </c>
      <c r="N133" s="15">
        <f>IFERROR(VLOOKUP($B133,'Cost Library'!$A$2:$M$159,7,FALSE),0)</f>
        <v>0</v>
      </c>
      <c r="O133" s="15">
        <f>IFERROR(VLOOKUP($B133,'Cost Library'!$A$2:$M$159,8,FALSE),0)</f>
        <v>0</v>
      </c>
      <c r="P133" s="15">
        <f>IFERROR(VLOOKUP($B133,'Cost Library'!$A$2:$M$159,9,FALSE),0)</f>
        <v>0</v>
      </c>
      <c r="Q133" s="16"/>
      <c r="R133" s="16" t="s">
        <v>116</v>
      </c>
      <c r="S133" s="17">
        <f t="shared" si="34"/>
        <v>0</v>
      </c>
      <c r="T133" s="18">
        <f>'Project Inputs'!$C$15</f>
        <v>0.1</v>
      </c>
      <c r="U133" s="17">
        <f t="shared" si="35"/>
        <v>0</v>
      </c>
      <c r="V133" s="11" t="s">
        <v>247</v>
      </c>
      <c r="W133" s="14" t="str">
        <f>IFERROR(VLOOKUP($B133,'Cost Library'!$A$2:$M$159,10,FALSE),"")</f>
        <v/>
      </c>
      <c r="X133" s="11"/>
      <c r="Y133" s="11"/>
      <c r="Z133" s="11"/>
      <c r="AA133" s="11"/>
      <c r="AB133" s="11"/>
      <c r="AC133" s="11"/>
      <c r="AD133" s="30"/>
      <c r="AE133" s="31"/>
      <c r="AF133" s="3">
        <f t="shared" si="36"/>
        <v>0</v>
      </c>
      <c r="AG133" s="31"/>
      <c r="AH133" s="31"/>
      <c r="AI133" s="3">
        <f t="shared" si="37"/>
        <v>0</v>
      </c>
      <c r="AJ133" s="31"/>
      <c r="AK133" s="31"/>
      <c r="AL133" s="3">
        <f t="shared" si="38"/>
        <v>0</v>
      </c>
      <c r="AM133" s="3">
        <f>IF($A133&lt;&gt;"Yes",0,IF($R133="Detailed Breakdown",$AF133,$S133*IFERROR(VLOOKUP($B133,'Cost Library'!$A$2:$Q$159,14,FALSE),0.4)))</f>
        <v>0</v>
      </c>
      <c r="AN133" s="3">
        <f>IF($A133&lt;&gt;"Yes",0,IF($R133="Detailed Breakdown",$AI133,$S133*IFERROR(VLOOKUP($B133,'Cost Library'!$A$2:$Q$159,15,FALSE),0.5)))</f>
        <v>0</v>
      </c>
      <c r="AO133" s="3">
        <f>IF($A133&lt;&gt;"Yes",0,IF($R133="Detailed Breakdown",$AJ133+$AK133,$S133*IFERROR(VLOOKUP($B133,'Cost Library'!$A$2:$Q$159,16,FALSE),0.1)))</f>
        <v>0</v>
      </c>
      <c r="AP133" s="3">
        <f t="shared" si="39"/>
        <v>0</v>
      </c>
      <c r="AQ133" s="32">
        <f t="shared" si="40"/>
        <v>0</v>
      </c>
      <c r="AR133" s="32">
        <f t="shared" si="41"/>
        <v>0</v>
      </c>
      <c r="AS133" s="32">
        <f t="shared" si="42"/>
        <v>0</v>
      </c>
      <c r="AT133" s="2" t="str">
        <f t="shared" si="43"/>
        <v/>
      </c>
      <c r="AU133" s="31" t="s">
        <v>116</v>
      </c>
      <c r="AV133" s="3">
        <f t="shared" si="44"/>
        <v>0</v>
      </c>
      <c r="AW133" s="3">
        <f t="shared" si="45"/>
        <v>0</v>
      </c>
      <c r="AX133" s="3">
        <f t="shared" si="46"/>
        <v>0</v>
      </c>
      <c r="AY133" s="3">
        <f t="shared" si="47"/>
        <v>0</v>
      </c>
      <c r="AZ133" s="3">
        <f t="shared" si="48"/>
        <v>0</v>
      </c>
      <c r="BA133" s="32">
        <f t="shared" si="49"/>
        <v>0</v>
      </c>
      <c r="BB133" s="2" t="str">
        <f t="shared" si="50"/>
        <v/>
      </c>
    </row>
    <row r="134" spans="1:54" ht="14.4">
      <c r="A134" s="13" t="s">
        <v>161</v>
      </c>
      <c r="B134" s="13"/>
      <c r="C134" s="14" t="str">
        <f>IFERROR(VLOOKUP($B134,'Cost Library'!$A$2:$M$159,2,FALSE),"")</f>
        <v/>
      </c>
      <c r="D134" s="14" t="str">
        <f>IFERROR(VLOOKUP($B134,'Cost Library'!$A$2:$M$159,3,FALSE),"")</f>
        <v/>
      </c>
      <c r="E134" s="13"/>
      <c r="F134" s="13"/>
      <c r="G134" s="13" t="str">
        <f>IFERROR(VLOOKUP($B134,'Cost Library'!$A$2:$M$159,5,FALSE),"")</f>
        <v/>
      </c>
      <c r="H134" s="13"/>
      <c r="I134" s="13"/>
      <c r="J134" s="13"/>
      <c r="K134" s="13"/>
      <c r="L134" s="13">
        <v>1</v>
      </c>
      <c r="M134" s="14" t="str">
        <f>IFERROR(VLOOKUP($B134,'Cost Library'!$A$2:$M$159,6,FALSE),"")</f>
        <v/>
      </c>
      <c r="N134" s="15">
        <f>IFERROR(VLOOKUP($B134,'Cost Library'!$A$2:$M$159,7,FALSE),0)</f>
        <v>0</v>
      </c>
      <c r="O134" s="15">
        <f>IFERROR(VLOOKUP($B134,'Cost Library'!$A$2:$M$159,8,FALSE),0)</f>
        <v>0</v>
      </c>
      <c r="P134" s="15">
        <f>IFERROR(VLOOKUP($B134,'Cost Library'!$A$2:$M$159,9,FALSE),0)</f>
        <v>0</v>
      </c>
      <c r="Q134" s="16"/>
      <c r="R134" s="16" t="s">
        <v>116</v>
      </c>
      <c r="S134" s="17">
        <f t="shared" si="34"/>
        <v>0</v>
      </c>
      <c r="T134" s="18">
        <f>'Project Inputs'!$C$15</f>
        <v>0.1</v>
      </c>
      <c r="U134" s="17">
        <f t="shared" si="35"/>
        <v>0</v>
      </c>
      <c r="V134" s="11" t="s">
        <v>247</v>
      </c>
      <c r="W134" s="14" t="str">
        <f>IFERROR(VLOOKUP($B134,'Cost Library'!$A$2:$M$159,10,FALSE),"")</f>
        <v/>
      </c>
      <c r="X134" s="11"/>
      <c r="Y134" s="11"/>
      <c r="Z134" s="11"/>
      <c r="AA134" s="11"/>
      <c r="AB134" s="11"/>
      <c r="AC134" s="11"/>
      <c r="AD134" s="30"/>
      <c r="AE134" s="31"/>
      <c r="AF134" s="3">
        <f t="shared" si="36"/>
        <v>0</v>
      </c>
      <c r="AG134" s="31"/>
      <c r="AH134" s="31"/>
      <c r="AI134" s="3">
        <f t="shared" si="37"/>
        <v>0</v>
      </c>
      <c r="AJ134" s="31"/>
      <c r="AK134" s="31"/>
      <c r="AL134" s="3">
        <f t="shared" si="38"/>
        <v>0</v>
      </c>
      <c r="AM134" s="3">
        <f>IF($A134&lt;&gt;"Yes",0,IF($R134="Detailed Breakdown",$AF134,$S134*IFERROR(VLOOKUP($B134,'Cost Library'!$A$2:$Q$159,14,FALSE),0.4)))</f>
        <v>0</v>
      </c>
      <c r="AN134" s="3">
        <f>IF($A134&lt;&gt;"Yes",0,IF($R134="Detailed Breakdown",$AI134,$S134*IFERROR(VLOOKUP($B134,'Cost Library'!$A$2:$Q$159,15,FALSE),0.5)))</f>
        <v>0</v>
      </c>
      <c r="AO134" s="3">
        <f>IF($A134&lt;&gt;"Yes",0,IF($R134="Detailed Breakdown",$AJ134+$AK134,$S134*IFERROR(VLOOKUP($B134,'Cost Library'!$A$2:$Q$159,16,FALSE),0.1)))</f>
        <v>0</v>
      </c>
      <c r="AP134" s="3">
        <f t="shared" si="39"/>
        <v>0</v>
      </c>
      <c r="AQ134" s="32">
        <f t="shared" si="40"/>
        <v>0</v>
      </c>
      <c r="AR134" s="32">
        <f t="shared" si="41"/>
        <v>0</v>
      </c>
      <c r="AS134" s="32">
        <f t="shared" si="42"/>
        <v>0</v>
      </c>
      <c r="AT134" s="2" t="str">
        <f t="shared" si="43"/>
        <v/>
      </c>
      <c r="AU134" s="31" t="s">
        <v>116</v>
      </c>
      <c r="AV134" s="3">
        <f t="shared" si="44"/>
        <v>0</v>
      </c>
      <c r="AW134" s="3">
        <f t="shared" si="45"/>
        <v>0</v>
      </c>
      <c r="AX134" s="3">
        <f t="shared" si="46"/>
        <v>0</v>
      </c>
      <c r="AY134" s="3">
        <f t="shared" si="47"/>
        <v>0</v>
      </c>
      <c r="AZ134" s="3">
        <f t="shared" si="48"/>
        <v>0</v>
      </c>
      <c r="BA134" s="32">
        <f t="shared" si="49"/>
        <v>0</v>
      </c>
      <c r="BB134" s="2" t="str">
        <f t="shared" si="50"/>
        <v/>
      </c>
    </row>
    <row r="135" spans="1:54" ht="14.4">
      <c r="A135" s="13" t="s">
        <v>161</v>
      </c>
      <c r="B135" s="13"/>
      <c r="C135" s="14" t="str">
        <f>IFERROR(VLOOKUP($B135,'Cost Library'!$A$2:$M$159,2,FALSE),"")</f>
        <v/>
      </c>
      <c r="D135" s="14" t="str">
        <f>IFERROR(VLOOKUP($B135,'Cost Library'!$A$2:$M$159,3,FALSE),"")</f>
        <v/>
      </c>
      <c r="E135" s="13"/>
      <c r="F135" s="13"/>
      <c r="G135" s="13" t="str">
        <f>IFERROR(VLOOKUP($B135,'Cost Library'!$A$2:$M$159,5,FALSE),"")</f>
        <v/>
      </c>
      <c r="H135" s="13"/>
      <c r="I135" s="13"/>
      <c r="J135" s="13"/>
      <c r="K135" s="13"/>
      <c r="L135" s="13">
        <v>1</v>
      </c>
      <c r="M135" s="14" t="str">
        <f>IFERROR(VLOOKUP($B135,'Cost Library'!$A$2:$M$159,6,FALSE),"")</f>
        <v/>
      </c>
      <c r="N135" s="15">
        <f>IFERROR(VLOOKUP($B135,'Cost Library'!$A$2:$M$159,7,FALSE),0)</f>
        <v>0</v>
      </c>
      <c r="O135" s="15">
        <f>IFERROR(VLOOKUP($B135,'Cost Library'!$A$2:$M$159,8,FALSE),0)</f>
        <v>0</v>
      </c>
      <c r="P135" s="15">
        <f>IFERROR(VLOOKUP($B135,'Cost Library'!$A$2:$M$159,9,FALSE),0)</f>
        <v>0</v>
      </c>
      <c r="Q135" s="16"/>
      <c r="R135" s="16" t="s">
        <v>116</v>
      </c>
      <c r="S135" s="17">
        <f t="shared" si="34"/>
        <v>0</v>
      </c>
      <c r="T135" s="18">
        <f>'Project Inputs'!$C$15</f>
        <v>0.1</v>
      </c>
      <c r="U135" s="17">
        <f t="shared" si="35"/>
        <v>0</v>
      </c>
      <c r="V135" s="11" t="s">
        <v>247</v>
      </c>
      <c r="W135" s="14" t="str">
        <f>IFERROR(VLOOKUP($B135,'Cost Library'!$A$2:$M$159,10,FALSE),"")</f>
        <v/>
      </c>
      <c r="X135" s="11"/>
      <c r="Y135" s="11"/>
      <c r="Z135" s="11"/>
      <c r="AA135" s="11"/>
      <c r="AB135" s="11"/>
      <c r="AC135" s="11"/>
      <c r="AD135" s="30"/>
      <c r="AE135" s="31"/>
      <c r="AF135" s="3">
        <f t="shared" si="36"/>
        <v>0</v>
      </c>
      <c r="AG135" s="31"/>
      <c r="AH135" s="31"/>
      <c r="AI135" s="3">
        <f t="shared" si="37"/>
        <v>0</v>
      </c>
      <c r="AJ135" s="31"/>
      <c r="AK135" s="31"/>
      <c r="AL135" s="3">
        <f t="shared" si="38"/>
        <v>0</v>
      </c>
      <c r="AM135" s="3">
        <f>IF($A135&lt;&gt;"Yes",0,IF($R135="Detailed Breakdown",$AF135,$S135*IFERROR(VLOOKUP($B135,'Cost Library'!$A$2:$Q$159,14,FALSE),0.4)))</f>
        <v>0</v>
      </c>
      <c r="AN135" s="3">
        <f>IF($A135&lt;&gt;"Yes",0,IF($R135="Detailed Breakdown",$AI135,$S135*IFERROR(VLOOKUP($B135,'Cost Library'!$A$2:$Q$159,15,FALSE),0.5)))</f>
        <v>0</v>
      </c>
      <c r="AO135" s="3">
        <f>IF($A135&lt;&gt;"Yes",0,IF($R135="Detailed Breakdown",$AJ135+$AK135,$S135*IFERROR(VLOOKUP($B135,'Cost Library'!$A$2:$Q$159,16,FALSE),0.1)))</f>
        <v>0</v>
      </c>
      <c r="AP135" s="3">
        <f t="shared" si="39"/>
        <v>0</v>
      </c>
      <c r="AQ135" s="32">
        <f t="shared" si="40"/>
        <v>0</v>
      </c>
      <c r="AR135" s="32">
        <f t="shared" si="41"/>
        <v>0</v>
      </c>
      <c r="AS135" s="32">
        <f t="shared" si="42"/>
        <v>0</v>
      </c>
      <c r="AT135" s="2" t="str">
        <f t="shared" si="43"/>
        <v/>
      </c>
      <c r="AU135" s="31" t="s">
        <v>116</v>
      </c>
      <c r="AV135" s="3">
        <f t="shared" si="44"/>
        <v>0</v>
      </c>
      <c r="AW135" s="3">
        <f t="shared" si="45"/>
        <v>0</v>
      </c>
      <c r="AX135" s="3">
        <f t="shared" si="46"/>
        <v>0</v>
      </c>
      <c r="AY135" s="3">
        <f t="shared" si="47"/>
        <v>0</v>
      </c>
      <c r="AZ135" s="3">
        <f t="shared" si="48"/>
        <v>0</v>
      </c>
      <c r="BA135" s="32">
        <f t="shared" si="49"/>
        <v>0</v>
      </c>
      <c r="BB135" s="2" t="str">
        <f t="shared" si="50"/>
        <v/>
      </c>
    </row>
    <row r="136" spans="1:54" ht="14.4">
      <c r="A136" s="13" t="s">
        <v>161</v>
      </c>
      <c r="B136" s="13"/>
      <c r="C136" s="14" t="str">
        <f>IFERROR(VLOOKUP($B136,'Cost Library'!$A$2:$M$159,2,FALSE),"")</f>
        <v/>
      </c>
      <c r="D136" s="14" t="str">
        <f>IFERROR(VLOOKUP($B136,'Cost Library'!$A$2:$M$159,3,FALSE),"")</f>
        <v/>
      </c>
      <c r="E136" s="13"/>
      <c r="F136" s="13"/>
      <c r="G136" s="13" t="str">
        <f>IFERROR(VLOOKUP($B136,'Cost Library'!$A$2:$M$159,5,FALSE),"")</f>
        <v/>
      </c>
      <c r="H136" s="13"/>
      <c r="I136" s="13"/>
      <c r="J136" s="13"/>
      <c r="K136" s="13"/>
      <c r="L136" s="13">
        <v>1</v>
      </c>
      <c r="M136" s="14" t="str">
        <f>IFERROR(VLOOKUP($B136,'Cost Library'!$A$2:$M$159,6,FALSE),"")</f>
        <v/>
      </c>
      <c r="N136" s="15">
        <f>IFERROR(VLOOKUP($B136,'Cost Library'!$A$2:$M$159,7,FALSE),0)</f>
        <v>0</v>
      </c>
      <c r="O136" s="15">
        <f>IFERROR(VLOOKUP($B136,'Cost Library'!$A$2:$M$159,8,FALSE),0)</f>
        <v>0</v>
      </c>
      <c r="P136" s="15">
        <f>IFERROR(VLOOKUP($B136,'Cost Library'!$A$2:$M$159,9,FALSE),0)</f>
        <v>0</v>
      </c>
      <c r="Q136" s="16"/>
      <c r="R136" s="16" t="s">
        <v>116</v>
      </c>
      <c r="S136" s="17">
        <f t="shared" si="34"/>
        <v>0</v>
      </c>
      <c r="T136" s="18">
        <f>'Project Inputs'!$C$15</f>
        <v>0.1</v>
      </c>
      <c r="U136" s="17">
        <f t="shared" si="35"/>
        <v>0</v>
      </c>
      <c r="V136" s="11" t="s">
        <v>247</v>
      </c>
      <c r="W136" s="14" t="str">
        <f>IFERROR(VLOOKUP($B136,'Cost Library'!$A$2:$M$159,10,FALSE),"")</f>
        <v/>
      </c>
      <c r="X136" s="11"/>
      <c r="Y136" s="11"/>
      <c r="Z136" s="11"/>
      <c r="AA136" s="11"/>
      <c r="AB136" s="11"/>
      <c r="AC136" s="11"/>
      <c r="AD136" s="30"/>
      <c r="AE136" s="31"/>
      <c r="AF136" s="3">
        <f t="shared" si="36"/>
        <v>0</v>
      </c>
      <c r="AG136" s="31"/>
      <c r="AH136" s="31"/>
      <c r="AI136" s="3">
        <f t="shared" si="37"/>
        <v>0</v>
      </c>
      <c r="AJ136" s="31"/>
      <c r="AK136" s="31"/>
      <c r="AL136" s="3">
        <f t="shared" si="38"/>
        <v>0</v>
      </c>
      <c r="AM136" s="3">
        <f>IF($A136&lt;&gt;"Yes",0,IF($R136="Detailed Breakdown",$AF136,$S136*IFERROR(VLOOKUP($B136,'Cost Library'!$A$2:$Q$159,14,FALSE),0.4)))</f>
        <v>0</v>
      </c>
      <c r="AN136" s="3">
        <f>IF($A136&lt;&gt;"Yes",0,IF($R136="Detailed Breakdown",$AI136,$S136*IFERROR(VLOOKUP($B136,'Cost Library'!$A$2:$Q$159,15,FALSE),0.5)))</f>
        <v>0</v>
      </c>
      <c r="AO136" s="3">
        <f>IF($A136&lt;&gt;"Yes",0,IF($R136="Detailed Breakdown",$AJ136+$AK136,$S136*IFERROR(VLOOKUP($B136,'Cost Library'!$A$2:$Q$159,16,FALSE),0.1)))</f>
        <v>0</v>
      </c>
      <c r="AP136" s="3">
        <f t="shared" si="39"/>
        <v>0</v>
      </c>
      <c r="AQ136" s="32">
        <f t="shared" si="40"/>
        <v>0</v>
      </c>
      <c r="AR136" s="32">
        <f t="shared" si="41"/>
        <v>0</v>
      </c>
      <c r="AS136" s="32">
        <f t="shared" si="42"/>
        <v>0</v>
      </c>
      <c r="AT136" s="2" t="str">
        <f t="shared" si="43"/>
        <v/>
      </c>
      <c r="AU136" s="31" t="s">
        <v>116</v>
      </c>
      <c r="AV136" s="3">
        <f t="shared" si="44"/>
        <v>0</v>
      </c>
      <c r="AW136" s="3">
        <f t="shared" si="45"/>
        <v>0</v>
      </c>
      <c r="AX136" s="3">
        <f t="shared" si="46"/>
        <v>0</v>
      </c>
      <c r="AY136" s="3">
        <f t="shared" si="47"/>
        <v>0</v>
      </c>
      <c r="AZ136" s="3">
        <f t="shared" si="48"/>
        <v>0</v>
      </c>
      <c r="BA136" s="32">
        <f t="shared" si="49"/>
        <v>0</v>
      </c>
      <c r="BB136" s="2" t="str">
        <f t="shared" si="50"/>
        <v/>
      </c>
    </row>
    <row r="137" spans="1:54" ht="14.4">
      <c r="A137" s="13" t="s">
        <v>161</v>
      </c>
      <c r="B137" s="13"/>
      <c r="C137" s="14" t="str">
        <f>IFERROR(VLOOKUP($B137,'Cost Library'!$A$2:$M$159,2,FALSE),"")</f>
        <v/>
      </c>
      <c r="D137" s="14" t="str">
        <f>IFERROR(VLOOKUP($B137,'Cost Library'!$A$2:$M$159,3,FALSE),"")</f>
        <v/>
      </c>
      <c r="E137" s="13"/>
      <c r="F137" s="13"/>
      <c r="G137" s="13" t="str">
        <f>IFERROR(VLOOKUP($B137,'Cost Library'!$A$2:$M$159,5,FALSE),"")</f>
        <v/>
      </c>
      <c r="H137" s="13"/>
      <c r="I137" s="13"/>
      <c r="J137" s="13"/>
      <c r="K137" s="13"/>
      <c r="L137" s="13">
        <v>1</v>
      </c>
      <c r="M137" s="14" t="str">
        <f>IFERROR(VLOOKUP($B137,'Cost Library'!$A$2:$M$159,6,FALSE),"")</f>
        <v/>
      </c>
      <c r="N137" s="15">
        <f>IFERROR(VLOOKUP($B137,'Cost Library'!$A$2:$M$159,7,FALSE),0)</f>
        <v>0</v>
      </c>
      <c r="O137" s="15">
        <f>IFERROR(VLOOKUP($B137,'Cost Library'!$A$2:$M$159,8,FALSE),0)</f>
        <v>0</v>
      </c>
      <c r="P137" s="15">
        <f>IFERROR(VLOOKUP($B137,'Cost Library'!$A$2:$M$159,9,FALSE),0)</f>
        <v>0</v>
      </c>
      <c r="Q137" s="16"/>
      <c r="R137" s="16" t="s">
        <v>116</v>
      </c>
      <c r="S137" s="17">
        <f t="shared" si="34"/>
        <v>0</v>
      </c>
      <c r="T137" s="18">
        <f>'Project Inputs'!$C$15</f>
        <v>0.1</v>
      </c>
      <c r="U137" s="17">
        <f t="shared" si="35"/>
        <v>0</v>
      </c>
      <c r="V137" s="11" t="s">
        <v>247</v>
      </c>
      <c r="W137" s="14" t="str">
        <f>IFERROR(VLOOKUP($B137,'Cost Library'!$A$2:$M$159,10,FALSE),"")</f>
        <v/>
      </c>
      <c r="X137" s="11"/>
      <c r="Y137" s="11"/>
      <c r="Z137" s="11"/>
      <c r="AA137" s="11"/>
      <c r="AB137" s="11"/>
      <c r="AC137" s="11"/>
      <c r="AD137" s="30"/>
      <c r="AE137" s="31"/>
      <c r="AF137" s="3">
        <f t="shared" si="36"/>
        <v>0</v>
      </c>
      <c r="AG137" s="31"/>
      <c r="AH137" s="31"/>
      <c r="AI137" s="3">
        <f t="shared" si="37"/>
        <v>0</v>
      </c>
      <c r="AJ137" s="31"/>
      <c r="AK137" s="31"/>
      <c r="AL137" s="3">
        <f t="shared" si="38"/>
        <v>0</v>
      </c>
      <c r="AM137" s="3">
        <f>IF($A137&lt;&gt;"Yes",0,IF($R137="Detailed Breakdown",$AF137,$S137*IFERROR(VLOOKUP($B137,'Cost Library'!$A$2:$Q$159,14,FALSE),0.4)))</f>
        <v>0</v>
      </c>
      <c r="AN137" s="3">
        <f>IF($A137&lt;&gt;"Yes",0,IF($R137="Detailed Breakdown",$AI137,$S137*IFERROR(VLOOKUP($B137,'Cost Library'!$A$2:$Q$159,15,FALSE),0.5)))</f>
        <v>0</v>
      </c>
      <c r="AO137" s="3">
        <f>IF($A137&lt;&gt;"Yes",0,IF($R137="Detailed Breakdown",$AJ137+$AK137,$S137*IFERROR(VLOOKUP($B137,'Cost Library'!$A$2:$Q$159,16,FALSE),0.1)))</f>
        <v>0</v>
      </c>
      <c r="AP137" s="3">
        <f t="shared" si="39"/>
        <v>0</v>
      </c>
      <c r="AQ137" s="32">
        <f t="shared" si="40"/>
        <v>0</v>
      </c>
      <c r="AR137" s="32">
        <f t="shared" si="41"/>
        <v>0</v>
      </c>
      <c r="AS137" s="32">
        <f t="shared" si="42"/>
        <v>0</v>
      </c>
      <c r="AT137" s="2" t="str">
        <f t="shared" si="43"/>
        <v/>
      </c>
      <c r="AU137" s="31" t="s">
        <v>116</v>
      </c>
      <c r="AV137" s="3">
        <f t="shared" si="44"/>
        <v>0</v>
      </c>
      <c r="AW137" s="3">
        <f t="shared" si="45"/>
        <v>0</v>
      </c>
      <c r="AX137" s="3">
        <f t="shared" si="46"/>
        <v>0</v>
      </c>
      <c r="AY137" s="3">
        <f t="shared" si="47"/>
        <v>0</v>
      </c>
      <c r="AZ137" s="3">
        <f t="shared" si="48"/>
        <v>0</v>
      </c>
      <c r="BA137" s="32">
        <f t="shared" si="49"/>
        <v>0</v>
      </c>
      <c r="BB137" s="2" t="str">
        <f t="shared" si="50"/>
        <v/>
      </c>
    </row>
    <row r="138" spans="1:54" ht="14.4">
      <c r="A138" s="13" t="s">
        <v>161</v>
      </c>
      <c r="B138" s="13"/>
      <c r="C138" s="14" t="str">
        <f>IFERROR(VLOOKUP($B138,'Cost Library'!$A$2:$M$159,2,FALSE),"")</f>
        <v/>
      </c>
      <c r="D138" s="14" t="str">
        <f>IFERROR(VLOOKUP($B138,'Cost Library'!$A$2:$M$159,3,FALSE),"")</f>
        <v/>
      </c>
      <c r="E138" s="13"/>
      <c r="F138" s="13"/>
      <c r="G138" s="13" t="str">
        <f>IFERROR(VLOOKUP($B138,'Cost Library'!$A$2:$M$159,5,FALSE),"")</f>
        <v/>
      </c>
      <c r="H138" s="13"/>
      <c r="I138" s="13"/>
      <c r="J138" s="13"/>
      <c r="K138" s="13"/>
      <c r="L138" s="13">
        <v>1</v>
      </c>
      <c r="M138" s="14" t="str">
        <f>IFERROR(VLOOKUP($B138,'Cost Library'!$A$2:$M$159,6,FALSE),"")</f>
        <v/>
      </c>
      <c r="N138" s="15">
        <f>IFERROR(VLOOKUP($B138,'Cost Library'!$A$2:$M$159,7,FALSE),0)</f>
        <v>0</v>
      </c>
      <c r="O138" s="15">
        <f>IFERROR(VLOOKUP($B138,'Cost Library'!$A$2:$M$159,8,FALSE),0)</f>
        <v>0</v>
      </c>
      <c r="P138" s="15">
        <f>IFERROR(VLOOKUP($B138,'Cost Library'!$A$2:$M$159,9,FALSE),0)</f>
        <v>0</v>
      </c>
      <c r="Q138" s="16"/>
      <c r="R138" s="16" t="s">
        <v>116</v>
      </c>
      <c r="S138" s="17">
        <f t="shared" si="34"/>
        <v>0</v>
      </c>
      <c r="T138" s="18">
        <f>'Project Inputs'!$C$15</f>
        <v>0.1</v>
      </c>
      <c r="U138" s="17">
        <f t="shared" si="35"/>
        <v>0</v>
      </c>
      <c r="V138" s="11" t="s">
        <v>247</v>
      </c>
      <c r="W138" s="14" t="str">
        <f>IFERROR(VLOOKUP($B138,'Cost Library'!$A$2:$M$159,10,FALSE),"")</f>
        <v/>
      </c>
      <c r="X138" s="11"/>
      <c r="Y138" s="11"/>
      <c r="Z138" s="11"/>
      <c r="AA138" s="11"/>
      <c r="AB138" s="11"/>
      <c r="AC138" s="11"/>
      <c r="AD138" s="30"/>
      <c r="AE138" s="31"/>
      <c r="AF138" s="3">
        <f t="shared" si="36"/>
        <v>0</v>
      </c>
      <c r="AG138" s="31"/>
      <c r="AH138" s="31"/>
      <c r="AI138" s="3">
        <f t="shared" si="37"/>
        <v>0</v>
      </c>
      <c r="AJ138" s="31"/>
      <c r="AK138" s="31"/>
      <c r="AL138" s="3">
        <f t="shared" si="38"/>
        <v>0</v>
      </c>
      <c r="AM138" s="3">
        <f>IF($A138&lt;&gt;"Yes",0,IF($R138="Detailed Breakdown",$AF138,$S138*IFERROR(VLOOKUP($B138,'Cost Library'!$A$2:$Q$159,14,FALSE),0.4)))</f>
        <v>0</v>
      </c>
      <c r="AN138" s="3">
        <f>IF($A138&lt;&gt;"Yes",0,IF($R138="Detailed Breakdown",$AI138,$S138*IFERROR(VLOOKUP($B138,'Cost Library'!$A$2:$Q$159,15,FALSE),0.5)))</f>
        <v>0</v>
      </c>
      <c r="AO138" s="3">
        <f>IF($A138&lt;&gt;"Yes",0,IF($R138="Detailed Breakdown",$AJ138+$AK138,$S138*IFERROR(VLOOKUP($B138,'Cost Library'!$A$2:$Q$159,16,FALSE),0.1)))</f>
        <v>0</v>
      </c>
      <c r="AP138" s="3">
        <f t="shared" si="39"/>
        <v>0</v>
      </c>
      <c r="AQ138" s="32">
        <f t="shared" si="40"/>
        <v>0</v>
      </c>
      <c r="AR138" s="32">
        <f t="shared" si="41"/>
        <v>0</v>
      </c>
      <c r="AS138" s="32">
        <f t="shared" si="42"/>
        <v>0</v>
      </c>
      <c r="AT138" s="2" t="str">
        <f t="shared" si="43"/>
        <v/>
      </c>
      <c r="AU138" s="31" t="s">
        <v>116</v>
      </c>
      <c r="AV138" s="3">
        <f t="shared" si="44"/>
        <v>0</v>
      </c>
      <c r="AW138" s="3">
        <f t="shared" si="45"/>
        <v>0</v>
      </c>
      <c r="AX138" s="3">
        <f t="shared" si="46"/>
        <v>0</v>
      </c>
      <c r="AY138" s="3">
        <f t="shared" si="47"/>
        <v>0</v>
      </c>
      <c r="AZ138" s="3">
        <f t="shared" si="48"/>
        <v>0</v>
      </c>
      <c r="BA138" s="32">
        <f t="shared" si="49"/>
        <v>0</v>
      </c>
      <c r="BB138" s="2" t="str">
        <f t="shared" si="50"/>
        <v/>
      </c>
    </row>
    <row r="139" spans="1:54" ht="14.4">
      <c r="A139" s="13" t="s">
        <v>161</v>
      </c>
      <c r="B139" s="13"/>
      <c r="C139" s="14" t="str">
        <f>IFERROR(VLOOKUP($B139,'Cost Library'!$A$2:$M$159,2,FALSE),"")</f>
        <v/>
      </c>
      <c r="D139" s="14" t="str">
        <f>IFERROR(VLOOKUP($B139,'Cost Library'!$A$2:$M$159,3,FALSE),"")</f>
        <v/>
      </c>
      <c r="E139" s="13"/>
      <c r="F139" s="13"/>
      <c r="G139" s="13" t="str">
        <f>IFERROR(VLOOKUP($B139,'Cost Library'!$A$2:$M$159,5,FALSE),"")</f>
        <v/>
      </c>
      <c r="H139" s="13"/>
      <c r="I139" s="13"/>
      <c r="J139" s="13"/>
      <c r="K139" s="13"/>
      <c r="L139" s="13">
        <v>1</v>
      </c>
      <c r="M139" s="14" t="str">
        <f>IFERROR(VLOOKUP($B139,'Cost Library'!$A$2:$M$159,6,FALSE),"")</f>
        <v/>
      </c>
      <c r="N139" s="15">
        <f>IFERROR(VLOOKUP($B139,'Cost Library'!$A$2:$M$159,7,FALSE),0)</f>
        <v>0</v>
      </c>
      <c r="O139" s="15">
        <f>IFERROR(VLOOKUP($B139,'Cost Library'!$A$2:$M$159,8,FALSE),0)</f>
        <v>0</v>
      </c>
      <c r="P139" s="15">
        <f>IFERROR(VLOOKUP($B139,'Cost Library'!$A$2:$M$159,9,FALSE),0)</f>
        <v>0</v>
      </c>
      <c r="Q139" s="16"/>
      <c r="R139" s="16" t="s">
        <v>116</v>
      </c>
      <c r="S139" s="17">
        <f t="shared" si="34"/>
        <v>0</v>
      </c>
      <c r="T139" s="18">
        <f>'Project Inputs'!$C$15</f>
        <v>0.1</v>
      </c>
      <c r="U139" s="17">
        <f t="shared" si="35"/>
        <v>0</v>
      </c>
      <c r="V139" s="11" t="s">
        <v>247</v>
      </c>
      <c r="W139" s="14" t="str">
        <f>IFERROR(VLOOKUP($B139,'Cost Library'!$A$2:$M$159,10,FALSE),"")</f>
        <v/>
      </c>
      <c r="X139" s="11"/>
      <c r="Y139" s="11"/>
      <c r="Z139" s="11"/>
      <c r="AA139" s="11"/>
      <c r="AB139" s="11"/>
      <c r="AC139" s="11"/>
      <c r="AD139" s="30"/>
      <c r="AE139" s="31"/>
      <c r="AF139" s="3">
        <f t="shared" si="36"/>
        <v>0</v>
      </c>
      <c r="AG139" s="31"/>
      <c r="AH139" s="31"/>
      <c r="AI139" s="3">
        <f t="shared" si="37"/>
        <v>0</v>
      </c>
      <c r="AJ139" s="31"/>
      <c r="AK139" s="31"/>
      <c r="AL139" s="3">
        <f t="shared" si="38"/>
        <v>0</v>
      </c>
      <c r="AM139" s="3">
        <f>IF($A139&lt;&gt;"Yes",0,IF($R139="Detailed Breakdown",$AF139,$S139*IFERROR(VLOOKUP($B139,'Cost Library'!$A$2:$Q$159,14,FALSE),0.4)))</f>
        <v>0</v>
      </c>
      <c r="AN139" s="3">
        <f>IF($A139&lt;&gt;"Yes",0,IF($R139="Detailed Breakdown",$AI139,$S139*IFERROR(VLOOKUP($B139,'Cost Library'!$A$2:$Q$159,15,FALSE),0.5)))</f>
        <v>0</v>
      </c>
      <c r="AO139" s="3">
        <f>IF($A139&lt;&gt;"Yes",0,IF($R139="Detailed Breakdown",$AJ139+$AK139,$S139*IFERROR(VLOOKUP($B139,'Cost Library'!$A$2:$Q$159,16,FALSE),0.1)))</f>
        <v>0</v>
      </c>
      <c r="AP139" s="3">
        <f t="shared" si="39"/>
        <v>0</v>
      </c>
      <c r="AQ139" s="32">
        <f t="shared" si="40"/>
        <v>0</v>
      </c>
      <c r="AR139" s="32">
        <f t="shared" si="41"/>
        <v>0</v>
      </c>
      <c r="AS139" s="32">
        <f t="shared" si="42"/>
        <v>0</v>
      </c>
      <c r="AT139" s="2" t="str">
        <f t="shared" si="43"/>
        <v/>
      </c>
      <c r="AU139" s="31" t="s">
        <v>116</v>
      </c>
      <c r="AV139" s="3">
        <f t="shared" si="44"/>
        <v>0</v>
      </c>
      <c r="AW139" s="3">
        <f t="shared" si="45"/>
        <v>0</v>
      </c>
      <c r="AX139" s="3">
        <f t="shared" si="46"/>
        <v>0</v>
      </c>
      <c r="AY139" s="3">
        <f t="shared" si="47"/>
        <v>0</v>
      </c>
      <c r="AZ139" s="3">
        <f t="shared" si="48"/>
        <v>0</v>
      </c>
      <c r="BA139" s="32">
        <f t="shared" si="49"/>
        <v>0</v>
      </c>
      <c r="BB139" s="2" t="str">
        <f t="shared" si="50"/>
        <v/>
      </c>
    </row>
    <row r="140" spans="1:54" ht="14.4">
      <c r="A140" s="13" t="s">
        <v>161</v>
      </c>
      <c r="B140" s="13"/>
      <c r="C140" s="14" t="str">
        <f>IFERROR(VLOOKUP($B140,'Cost Library'!$A$2:$M$159,2,FALSE),"")</f>
        <v/>
      </c>
      <c r="D140" s="14" t="str">
        <f>IFERROR(VLOOKUP($B140,'Cost Library'!$A$2:$M$159,3,FALSE),"")</f>
        <v/>
      </c>
      <c r="E140" s="13"/>
      <c r="F140" s="13"/>
      <c r="G140" s="13" t="str">
        <f>IFERROR(VLOOKUP($B140,'Cost Library'!$A$2:$M$159,5,FALSE),"")</f>
        <v/>
      </c>
      <c r="H140" s="13"/>
      <c r="I140" s="13"/>
      <c r="J140" s="13"/>
      <c r="K140" s="13"/>
      <c r="L140" s="13">
        <v>1</v>
      </c>
      <c r="M140" s="14" t="str">
        <f>IFERROR(VLOOKUP($B140,'Cost Library'!$A$2:$M$159,6,FALSE),"")</f>
        <v/>
      </c>
      <c r="N140" s="15">
        <f>IFERROR(VLOOKUP($B140,'Cost Library'!$A$2:$M$159,7,FALSE),0)</f>
        <v>0</v>
      </c>
      <c r="O140" s="15">
        <f>IFERROR(VLOOKUP($B140,'Cost Library'!$A$2:$M$159,8,FALSE),0)</f>
        <v>0</v>
      </c>
      <c r="P140" s="15">
        <f>IFERROR(VLOOKUP($B140,'Cost Library'!$A$2:$M$159,9,FALSE),0)</f>
        <v>0</v>
      </c>
      <c r="Q140" s="16"/>
      <c r="R140" s="16" t="s">
        <v>116</v>
      </c>
      <c r="S140" s="17">
        <f t="shared" si="34"/>
        <v>0</v>
      </c>
      <c r="T140" s="18">
        <f>'Project Inputs'!$C$15</f>
        <v>0.1</v>
      </c>
      <c r="U140" s="17">
        <f t="shared" si="35"/>
        <v>0</v>
      </c>
      <c r="V140" s="11" t="s">
        <v>247</v>
      </c>
      <c r="W140" s="14" t="str">
        <f>IFERROR(VLOOKUP($B140,'Cost Library'!$A$2:$M$159,10,FALSE),"")</f>
        <v/>
      </c>
      <c r="X140" s="11"/>
      <c r="Y140" s="11"/>
      <c r="Z140" s="11"/>
      <c r="AA140" s="11"/>
      <c r="AB140" s="11"/>
      <c r="AC140" s="11"/>
      <c r="AD140" s="30"/>
      <c r="AE140" s="31"/>
      <c r="AF140" s="3">
        <f t="shared" si="36"/>
        <v>0</v>
      </c>
      <c r="AG140" s="31"/>
      <c r="AH140" s="31"/>
      <c r="AI140" s="3">
        <f t="shared" si="37"/>
        <v>0</v>
      </c>
      <c r="AJ140" s="31"/>
      <c r="AK140" s="31"/>
      <c r="AL140" s="3">
        <f t="shared" si="38"/>
        <v>0</v>
      </c>
      <c r="AM140" s="3">
        <f>IF($A140&lt;&gt;"Yes",0,IF($R140="Detailed Breakdown",$AF140,$S140*IFERROR(VLOOKUP($B140,'Cost Library'!$A$2:$Q$159,14,FALSE),0.4)))</f>
        <v>0</v>
      </c>
      <c r="AN140" s="3">
        <f>IF($A140&lt;&gt;"Yes",0,IF($R140="Detailed Breakdown",$AI140,$S140*IFERROR(VLOOKUP($B140,'Cost Library'!$A$2:$Q$159,15,FALSE),0.5)))</f>
        <v>0</v>
      </c>
      <c r="AO140" s="3">
        <f>IF($A140&lt;&gt;"Yes",0,IF($R140="Detailed Breakdown",$AJ140+$AK140,$S140*IFERROR(VLOOKUP($B140,'Cost Library'!$A$2:$Q$159,16,FALSE),0.1)))</f>
        <v>0</v>
      </c>
      <c r="AP140" s="3">
        <f t="shared" si="39"/>
        <v>0</v>
      </c>
      <c r="AQ140" s="32">
        <f t="shared" si="40"/>
        <v>0</v>
      </c>
      <c r="AR140" s="32">
        <f t="shared" si="41"/>
        <v>0</v>
      </c>
      <c r="AS140" s="32">
        <f t="shared" si="42"/>
        <v>0</v>
      </c>
      <c r="AT140" s="2" t="str">
        <f t="shared" si="43"/>
        <v/>
      </c>
      <c r="AU140" s="31" t="s">
        <v>116</v>
      </c>
      <c r="AV140" s="3">
        <f t="shared" si="44"/>
        <v>0</v>
      </c>
      <c r="AW140" s="3">
        <f t="shared" si="45"/>
        <v>0</v>
      </c>
      <c r="AX140" s="3">
        <f t="shared" si="46"/>
        <v>0</v>
      </c>
      <c r="AY140" s="3">
        <f t="shared" si="47"/>
        <v>0</v>
      </c>
      <c r="AZ140" s="3">
        <f t="shared" si="48"/>
        <v>0</v>
      </c>
      <c r="BA140" s="32">
        <f t="shared" si="49"/>
        <v>0</v>
      </c>
      <c r="BB140" s="2" t="str">
        <f t="shared" si="50"/>
        <v/>
      </c>
    </row>
    <row r="141" spans="1:54" ht="14.4">
      <c r="A141" s="13" t="s">
        <v>161</v>
      </c>
      <c r="B141" s="13"/>
      <c r="C141" s="14" t="str">
        <f>IFERROR(VLOOKUP($B141,'Cost Library'!$A$2:$M$159,2,FALSE),"")</f>
        <v/>
      </c>
      <c r="D141" s="14" t="str">
        <f>IFERROR(VLOOKUP($B141,'Cost Library'!$A$2:$M$159,3,FALSE),"")</f>
        <v/>
      </c>
      <c r="E141" s="13"/>
      <c r="F141" s="13"/>
      <c r="G141" s="13" t="str">
        <f>IFERROR(VLOOKUP($B141,'Cost Library'!$A$2:$M$159,5,FALSE),"")</f>
        <v/>
      </c>
      <c r="H141" s="13"/>
      <c r="I141" s="13"/>
      <c r="J141" s="13"/>
      <c r="K141" s="13"/>
      <c r="L141" s="13">
        <v>1</v>
      </c>
      <c r="M141" s="14" t="str">
        <f>IFERROR(VLOOKUP($B141,'Cost Library'!$A$2:$M$159,6,FALSE),"")</f>
        <v/>
      </c>
      <c r="N141" s="15">
        <f>IFERROR(VLOOKUP($B141,'Cost Library'!$A$2:$M$159,7,FALSE),0)</f>
        <v>0</v>
      </c>
      <c r="O141" s="15">
        <f>IFERROR(VLOOKUP($B141,'Cost Library'!$A$2:$M$159,8,FALSE),0)</f>
        <v>0</v>
      </c>
      <c r="P141" s="15">
        <f>IFERROR(VLOOKUP($B141,'Cost Library'!$A$2:$M$159,9,FALSE),0)</f>
        <v>0</v>
      </c>
      <c r="Q141" s="16"/>
      <c r="R141" s="16" t="s">
        <v>116</v>
      </c>
      <c r="S141" s="17">
        <f t="shared" si="34"/>
        <v>0</v>
      </c>
      <c r="T141" s="18">
        <f>'Project Inputs'!$C$15</f>
        <v>0.1</v>
      </c>
      <c r="U141" s="17">
        <f t="shared" si="35"/>
        <v>0</v>
      </c>
      <c r="V141" s="11" t="s">
        <v>247</v>
      </c>
      <c r="W141" s="14" t="str">
        <f>IFERROR(VLOOKUP($B141,'Cost Library'!$A$2:$M$159,10,FALSE),"")</f>
        <v/>
      </c>
      <c r="X141" s="11"/>
      <c r="Y141" s="11"/>
      <c r="Z141" s="11"/>
      <c r="AA141" s="11"/>
      <c r="AB141" s="11"/>
      <c r="AC141" s="11"/>
      <c r="AD141" s="30"/>
      <c r="AE141" s="31"/>
      <c r="AF141" s="3">
        <f t="shared" si="36"/>
        <v>0</v>
      </c>
      <c r="AG141" s="31"/>
      <c r="AH141" s="31"/>
      <c r="AI141" s="3">
        <f t="shared" si="37"/>
        <v>0</v>
      </c>
      <c r="AJ141" s="31"/>
      <c r="AK141" s="31"/>
      <c r="AL141" s="3">
        <f t="shared" si="38"/>
        <v>0</v>
      </c>
      <c r="AM141" s="3">
        <f>IF($A141&lt;&gt;"Yes",0,IF($R141="Detailed Breakdown",$AF141,$S141*IFERROR(VLOOKUP($B141,'Cost Library'!$A$2:$Q$159,14,FALSE),0.4)))</f>
        <v>0</v>
      </c>
      <c r="AN141" s="3">
        <f>IF($A141&lt;&gt;"Yes",0,IF($R141="Detailed Breakdown",$AI141,$S141*IFERROR(VLOOKUP($B141,'Cost Library'!$A$2:$Q$159,15,FALSE),0.5)))</f>
        <v>0</v>
      </c>
      <c r="AO141" s="3">
        <f>IF($A141&lt;&gt;"Yes",0,IF($R141="Detailed Breakdown",$AJ141+$AK141,$S141*IFERROR(VLOOKUP($B141,'Cost Library'!$A$2:$Q$159,16,FALSE),0.1)))</f>
        <v>0</v>
      </c>
      <c r="AP141" s="3">
        <f t="shared" si="39"/>
        <v>0</v>
      </c>
      <c r="AQ141" s="32">
        <f t="shared" si="40"/>
        <v>0</v>
      </c>
      <c r="AR141" s="32">
        <f t="shared" si="41"/>
        <v>0</v>
      </c>
      <c r="AS141" s="32">
        <f t="shared" si="42"/>
        <v>0</v>
      </c>
      <c r="AT141" s="2" t="str">
        <f t="shared" si="43"/>
        <v/>
      </c>
      <c r="AU141" s="31" t="s">
        <v>116</v>
      </c>
      <c r="AV141" s="3">
        <f t="shared" si="44"/>
        <v>0</v>
      </c>
      <c r="AW141" s="3">
        <f t="shared" si="45"/>
        <v>0</v>
      </c>
      <c r="AX141" s="3">
        <f t="shared" si="46"/>
        <v>0</v>
      </c>
      <c r="AY141" s="3">
        <f t="shared" si="47"/>
        <v>0</v>
      </c>
      <c r="AZ141" s="3">
        <f t="shared" si="48"/>
        <v>0</v>
      </c>
      <c r="BA141" s="32">
        <f t="shared" si="49"/>
        <v>0</v>
      </c>
      <c r="BB141" s="2" t="str">
        <f t="shared" si="50"/>
        <v/>
      </c>
    </row>
    <row r="142" spans="1:54" ht="14.4">
      <c r="A142" s="13" t="s">
        <v>161</v>
      </c>
      <c r="B142" s="13"/>
      <c r="C142" s="14" t="str">
        <f>IFERROR(VLOOKUP($B142,'Cost Library'!$A$2:$M$159,2,FALSE),"")</f>
        <v/>
      </c>
      <c r="D142" s="14" t="str">
        <f>IFERROR(VLOOKUP($B142,'Cost Library'!$A$2:$M$159,3,FALSE),"")</f>
        <v/>
      </c>
      <c r="E142" s="13"/>
      <c r="F142" s="13"/>
      <c r="G142" s="13" t="str">
        <f>IFERROR(VLOOKUP($B142,'Cost Library'!$A$2:$M$159,5,FALSE),"")</f>
        <v/>
      </c>
      <c r="H142" s="13"/>
      <c r="I142" s="13"/>
      <c r="J142" s="13"/>
      <c r="K142" s="13"/>
      <c r="L142" s="13">
        <v>1</v>
      </c>
      <c r="M142" s="14" t="str">
        <f>IFERROR(VLOOKUP($B142,'Cost Library'!$A$2:$M$159,6,FALSE),"")</f>
        <v/>
      </c>
      <c r="N142" s="15">
        <f>IFERROR(VLOOKUP($B142,'Cost Library'!$A$2:$M$159,7,FALSE),0)</f>
        <v>0</v>
      </c>
      <c r="O142" s="15">
        <f>IFERROR(VLOOKUP($B142,'Cost Library'!$A$2:$M$159,8,FALSE),0)</f>
        <v>0</v>
      </c>
      <c r="P142" s="15">
        <f>IFERROR(VLOOKUP($B142,'Cost Library'!$A$2:$M$159,9,FALSE),0)</f>
        <v>0</v>
      </c>
      <c r="Q142" s="16"/>
      <c r="R142" s="16" t="s">
        <v>116</v>
      </c>
      <c r="S142" s="17">
        <f t="shared" si="34"/>
        <v>0</v>
      </c>
      <c r="T142" s="18">
        <f>'Project Inputs'!$C$15</f>
        <v>0.1</v>
      </c>
      <c r="U142" s="17">
        <f t="shared" si="35"/>
        <v>0</v>
      </c>
      <c r="V142" s="11" t="s">
        <v>247</v>
      </c>
      <c r="W142" s="14" t="str">
        <f>IFERROR(VLOOKUP($B142,'Cost Library'!$A$2:$M$159,10,FALSE),"")</f>
        <v/>
      </c>
      <c r="X142" s="11"/>
      <c r="Y142" s="11"/>
      <c r="Z142" s="11"/>
      <c r="AA142" s="11"/>
      <c r="AB142" s="11"/>
      <c r="AC142" s="11"/>
      <c r="AD142" s="30"/>
      <c r="AE142" s="31"/>
      <c r="AF142" s="3">
        <f t="shared" si="36"/>
        <v>0</v>
      </c>
      <c r="AG142" s="31"/>
      <c r="AH142" s="31"/>
      <c r="AI142" s="3">
        <f t="shared" si="37"/>
        <v>0</v>
      </c>
      <c r="AJ142" s="31"/>
      <c r="AK142" s="31"/>
      <c r="AL142" s="3">
        <f t="shared" si="38"/>
        <v>0</v>
      </c>
      <c r="AM142" s="3">
        <f>IF($A142&lt;&gt;"Yes",0,IF($R142="Detailed Breakdown",$AF142,$S142*IFERROR(VLOOKUP($B142,'Cost Library'!$A$2:$Q$159,14,FALSE),0.4)))</f>
        <v>0</v>
      </c>
      <c r="AN142" s="3">
        <f>IF($A142&lt;&gt;"Yes",0,IF($R142="Detailed Breakdown",$AI142,$S142*IFERROR(VLOOKUP($B142,'Cost Library'!$A$2:$Q$159,15,FALSE),0.5)))</f>
        <v>0</v>
      </c>
      <c r="AO142" s="3">
        <f>IF($A142&lt;&gt;"Yes",0,IF($R142="Detailed Breakdown",$AJ142+$AK142,$S142*IFERROR(VLOOKUP($B142,'Cost Library'!$A$2:$Q$159,16,FALSE),0.1)))</f>
        <v>0</v>
      </c>
      <c r="AP142" s="3">
        <f t="shared" si="39"/>
        <v>0</v>
      </c>
      <c r="AQ142" s="32">
        <f t="shared" si="40"/>
        <v>0</v>
      </c>
      <c r="AR142" s="32">
        <f t="shared" si="41"/>
        <v>0</v>
      </c>
      <c r="AS142" s="32">
        <f t="shared" si="42"/>
        <v>0</v>
      </c>
      <c r="AT142" s="2" t="str">
        <f t="shared" si="43"/>
        <v/>
      </c>
      <c r="AU142" s="31" t="s">
        <v>116</v>
      </c>
      <c r="AV142" s="3">
        <f t="shared" si="44"/>
        <v>0</v>
      </c>
      <c r="AW142" s="3">
        <f t="shared" si="45"/>
        <v>0</v>
      </c>
      <c r="AX142" s="3">
        <f t="shared" si="46"/>
        <v>0</v>
      </c>
      <c r="AY142" s="3">
        <f t="shared" si="47"/>
        <v>0</v>
      </c>
      <c r="AZ142" s="3">
        <f t="shared" si="48"/>
        <v>0</v>
      </c>
      <c r="BA142" s="32">
        <f t="shared" si="49"/>
        <v>0</v>
      </c>
      <c r="BB142" s="2" t="str">
        <f t="shared" si="50"/>
        <v/>
      </c>
    </row>
    <row r="143" spans="1:54" ht="14.4">
      <c r="A143" s="13" t="s">
        <v>161</v>
      </c>
      <c r="B143" s="13"/>
      <c r="C143" s="14" t="str">
        <f>IFERROR(VLOOKUP($B143,'Cost Library'!$A$2:$M$159,2,FALSE),"")</f>
        <v/>
      </c>
      <c r="D143" s="14" t="str">
        <f>IFERROR(VLOOKUP($B143,'Cost Library'!$A$2:$M$159,3,FALSE),"")</f>
        <v/>
      </c>
      <c r="E143" s="13"/>
      <c r="F143" s="13"/>
      <c r="G143" s="13" t="str">
        <f>IFERROR(VLOOKUP($B143,'Cost Library'!$A$2:$M$159,5,FALSE),"")</f>
        <v/>
      </c>
      <c r="H143" s="13"/>
      <c r="I143" s="13"/>
      <c r="J143" s="13"/>
      <c r="K143" s="13"/>
      <c r="L143" s="13">
        <v>1</v>
      </c>
      <c r="M143" s="14" t="str">
        <f>IFERROR(VLOOKUP($B143,'Cost Library'!$A$2:$M$159,6,FALSE),"")</f>
        <v/>
      </c>
      <c r="N143" s="15">
        <f>IFERROR(VLOOKUP($B143,'Cost Library'!$A$2:$M$159,7,FALSE),0)</f>
        <v>0</v>
      </c>
      <c r="O143" s="15">
        <f>IFERROR(VLOOKUP($B143,'Cost Library'!$A$2:$M$159,8,FALSE),0)</f>
        <v>0</v>
      </c>
      <c r="P143" s="15">
        <f>IFERROR(VLOOKUP($B143,'Cost Library'!$A$2:$M$159,9,FALSE),0)</f>
        <v>0</v>
      </c>
      <c r="Q143" s="16"/>
      <c r="R143" s="16" t="s">
        <v>116</v>
      </c>
      <c r="S143" s="17">
        <f t="shared" si="34"/>
        <v>0</v>
      </c>
      <c r="T143" s="18">
        <f>'Project Inputs'!$C$15</f>
        <v>0.1</v>
      </c>
      <c r="U143" s="17">
        <f t="shared" si="35"/>
        <v>0</v>
      </c>
      <c r="V143" s="11" t="s">
        <v>247</v>
      </c>
      <c r="W143" s="14" t="str">
        <f>IFERROR(VLOOKUP($B143,'Cost Library'!$A$2:$M$159,10,FALSE),"")</f>
        <v/>
      </c>
      <c r="X143" s="11"/>
      <c r="Y143" s="11"/>
      <c r="Z143" s="11"/>
      <c r="AA143" s="11"/>
      <c r="AB143" s="11"/>
      <c r="AC143" s="11"/>
      <c r="AD143" s="30"/>
      <c r="AE143" s="31"/>
      <c r="AF143" s="3">
        <f t="shared" si="36"/>
        <v>0</v>
      </c>
      <c r="AG143" s="31"/>
      <c r="AH143" s="31"/>
      <c r="AI143" s="3">
        <f t="shared" si="37"/>
        <v>0</v>
      </c>
      <c r="AJ143" s="31"/>
      <c r="AK143" s="31"/>
      <c r="AL143" s="3">
        <f t="shared" si="38"/>
        <v>0</v>
      </c>
      <c r="AM143" s="3">
        <f>IF($A143&lt;&gt;"Yes",0,IF($R143="Detailed Breakdown",$AF143,$S143*IFERROR(VLOOKUP($B143,'Cost Library'!$A$2:$Q$159,14,FALSE),0.4)))</f>
        <v>0</v>
      </c>
      <c r="AN143" s="3">
        <f>IF($A143&lt;&gt;"Yes",0,IF($R143="Detailed Breakdown",$AI143,$S143*IFERROR(VLOOKUP($B143,'Cost Library'!$A$2:$Q$159,15,FALSE),0.5)))</f>
        <v>0</v>
      </c>
      <c r="AO143" s="3">
        <f>IF($A143&lt;&gt;"Yes",0,IF($R143="Detailed Breakdown",$AJ143+$AK143,$S143*IFERROR(VLOOKUP($B143,'Cost Library'!$A$2:$Q$159,16,FALSE),0.1)))</f>
        <v>0</v>
      </c>
      <c r="AP143" s="3">
        <f t="shared" si="39"/>
        <v>0</v>
      </c>
      <c r="AQ143" s="32">
        <f t="shared" si="40"/>
        <v>0</v>
      </c>
      <c r="AR143" s="32">
        <f t="shared" si="41"/>
        <v>0</v>
      </c>
      <c r="AS143" s="32">
        <f t="shared" si="42"/>
        <v>0</v>
      </c>
      <c r="AT143" s="2" t="str">
        <f t="shared" si="43"/>
        <v/>
      </c>
      <c r="AU143" s="31" t="s">
        <v>116</v>
      </c>
      <c r="AV143" s="3">
        <f t="shared" si="44"/>
        <v>0</v>
      </c>
      <c r="AW143" s="3">
        <f t="shared" si="45"/>
        <v>0</v>
      </c>
      <c r="AX143" s="3">
        <f t="shared" si="46"/>
        <v>0</v>
      </c>
      <c r="AY143" s="3">
        <f t="shared" si="47"/>
        <v>0</v>
      </c>
      <c r="AZ143" s="3">
        <f t="shared" si="48"/>
        <v>0</v>
      </c>
      <c r="BA143" s="32">
        <f t="shared" si="49"/>
        <v>0</v>
      </c>
      <c r="BB143" s="2" t="str">
        <f t="shared" si="50"/>
        <v/>
      </c>
    </row>
    <row r="144" spans="1:54" ht="14.4">
      <c r="A144" s="13" t="s">
        <v>161</v>
      </c>
      <c r="B144" s="13"/>
      <c r="C144" s="14" t="str">
        <f>IFERROR(VLOOKUP($B144,'Cost Library'!$A$2:$M$159,2,FALSE),"")</f>
        <v/>
      </c>
      <c r="D144" s="14" t="str">
        <f>IFERROR(VLOOKUP($B144,'Cost Library'!$A$2:$M$159,3,FALSE),"")</f>
        <v/>
      </c>
      <c r="E144" s="13"/>
      <c r="F144" s="13"/>
      <c r="G144" s="13" t="str">
        <f>IFERROR(VLOOKUP($B144,'Cost Library'!$A$2:$M$159,5,FALSE),"")</f>
        <v/>
      </c>
      <c r="H144" s="13"/>
      <c r="I144" s="13"/>
      <c r="J144" s="13"/>
      <c r="K144" s="13"/>
      <c r="L144" s="13">
        <v>1</v>
      </c>
      <c r="M144" s="14" t="str">
        <f>IFERROR(VLOOKUP($B144,'Cost Library'!$A$2:$M$159,6,FALSE),"")</f>
        <v/>
      </c>
      <c r="N144" s="15">
        <f>IFERROR(VLOOKUP($B144,'Cost Library'!$A$2:$M$159,7,FALSE),0)</f>
        <v>0</v>
      </c>
      <c r="O144" s="15">
        <f>IFERROR(VLOOKUP($B144,'Cost Library'!$A$2:$M$159,8,FALSE),0)</f>
        <v>0</v>
      </c>
      <c r="P144" s="15">
        <f>IFERROR(VLOOKUP($B144,'Cost Library'!$A$2:$M$159,9,FALSE),0)</f>
        <v>0</v>
      </c>
      <c r="Q144" s="16"/>
      <c r="R144" s="16" t="s">
        <v>116</v>
      </c>
      <c r="S144" s="17">
        <f t="shared" si="34"/>
        <v>0</v>
      </c>
      <c r="T144" s="18">
        <f>'Project Inputs'!$C$15</f>
        <v>0.1</v>
      </c>
      <c r="U144" s="17">
        <f t="shared" si="35"/>
        <v>0</v>
      </c>
      <c r="V144" s="11" t="s">
        <v>247</v>
      </c>
      <c r="W144" s="14" t="str">
        <f>IFERROR(VLOOKUP($B144,'Cost Library'!$A$2:$M$159,10,FALSE),"")</f>
        <v/>
      </c>
      <c r="X144" s="11"/>
      <c r="Y144" s="11"/>
      <c r="Z144" s="11"/>
      <c r="AA144" s="11"/>
      <c r="AB144" s="11"/>
      <c r="AC144" s="11"/>
      <c r="AD144" s="30"/>
      <c r="AE144" s="31"/>
      <c r="AF144" s="3">
        <f t="shared" si="36"/>
        <v>0</v>
      </c>
      <c r="AG144" s="31"/>
      <c r="AH144" s="31"/>
      <c r="AI144" s="3">
        <f t="shared" si="37"/>
        <v>0</v>
      </c>
      <c r="AJ144" s="31"/>
      <c r="AK144" s="31"/>
      <c r="AL144" s="3">
        <f t="shared" si="38"/>
        <v>0</v>
      </c>
      <c r="AM144" s="3">
        <f>IF($A144&lt;&gt;"Yes",0,IF($R144="Detailed Breakdown",$AF144,$S144*IFERROR(VLOOKUP($B144,'Cost Library'!$A$2:$Q$159,14,FALSE),0.4)))</f>
        <v>0</v>
      </c>
      <c r="AN144" s="3">
        <f>IF($A144&lt;&gt;"Yes",0,IF($R144="Detailed Breakdown",$AI144,$S144*IFERROR(VLOOKUP($B144,'Cost Library'!$A$2:$Q$159,15,FALSE),0.5)))</f>
        <v>0</v>
      </c>
      <c r="AO144" s="3">
        <f>IF($A144&lt;&gt;"Yes",0,IF($R144="Detailed Breakdown",$AJ144+$AK144,$S144*IFERROR(VLOOKUP($B144,'Cost Library'!$A$2:$Q$159,16,FALSE),0.1)))</f>
        <v>0</v>
      </c>
      <c r="AP144" s="3">
        <f t="shared" si="39"/>
        <v>0</v>
      </c>
      <c r="AQ144" s="32">
        <f t="shared" si="40"/>
        <v>0</v>
      </c>
      <c r="AR144" s="32">
        <f t="shared" si="41"/>
        <v>0</v>
      </c>
      <c r="AS144" s="32">
        <f t="shared" si="42"/>
        <v>0</v>
      </c>
      <c r="AT144" s="2" t="str">
        <f t="shared" si="43"/>
        <v/>
      </c>
      <c r="AU144" s="31" t="s">
        <v>116</v>
      </c>
      <c r="AV144" s="3">
        <f t="shared" si="44"/>
        <v>0</v>
      </c>
      <c r="AW144" s="3">
        <f t="shared" si="45"/>
        <v>0</v>
      </c>
      <c r="AX144" s="3">
        <f t="shared" si="46"/>
        <v>0</v>
      </c>
      <c r="AY144" s="3">
        <f t="shared" si="47"/>
        <v>0</v>
      </c>
      <c r="AZ144" s="3">
        <f t="shared" si="48"/>
        <v>0</v>
      </c>
      <c r="BA144" s="32">
        <f t="shared" si="49"/>
        <v>0</v>
      </c>
      <c r="BB144" s="2" t="str">
        <f t="shared" si="50"/>
        <v/>
      </c>
    </row>
    <row r="145" spans="1:54" ht="14.4">
      <c r="A145" s="13" t="s">
        <v>161</v>
      </c>
      <c r="B145" s="13"/>
      <c r="C145" s="14" t="str">
        <f>IFERROR(VLOOKUP($B145,'Cost Library'!$A$2:$M$159,2,FALSE),"")</f>
        <v/>
      </c>
      <c r="D145" s="14" t="str">
        <f>IFERROR(VLOOKUP($B145,'Cost Library'!$A$2:$M$159,3,FALSE),"")</f>
        <v/>
      </c>
      <c r="E145" s="13"/>
      <c r="F145" s="13"/>
      <c r="G145" s="13" t="str">
        <f>IFERROR(VLOOKUP($B145,'Cost Library'!$A$2:$M$159,5,FALSE),"")</f>
        <v/>
      </c>
      <c r="H145" s="13"/>
      <c r="I145" s="13"/>
      <c r="J145" s="13"/>
      <c r="K145" s="13"/>
      <c r="L145" s="13">
        <v>1</v>
      </c>
      <c r="M145" s="14" t="str">
        <f>IFERROR(VLOOKUP($B145,'Cost Library'!$A$2:$M$159,6,FALSE),"")</f>
        <v/>
      </c>
      <c r="N145" s="15">
        <f>IFERROR(VLOOKUP($B145,'Cost Library'!$A$2:$M$159,7,FALSE),0)</f>
        <v>0</v>
      </c>
      <c r="O145" s="15">
        <f>IFERROR(VLOOKUP($B145,'Cost Library'!$A$2:$M$159,8,FALSE),0)</f>
        <v>0</v>
      </c>
      <c r="P145" s="15">
        <f>IFERROR(VLOOKUP($B145,'Cost Library'!$A$2:$M$159,9,FALSE),0)</f>
        <v>0</v>
      </c>
      <c r="Q145" s="16"/>
      <c r="R145" s="16" t="s">
        <v>116</v>
      </c>
      <c r="S145" s="17">
        <f t="shared" si="34"/>
        <v>0</v>
      </c>
      <c r="T145" s="18">
        <f>'Project Inputs'!$C$15</f>
        <v>0.1</v>
      </c>
      <c r="U145" s="17">
        <f t="shared" si="35"/>
        <v>0</v>
      </c>
      <c r="V145" s="11" t="s">
        <v>247</v>
      </c>
      <c r="W145" s="14" t="str">
        <f>IFERROR(VLOOKUP($B145,'Cost Library'!$A$2:$M$159,10,FALSE),"")</f>
        <v/>
      </c>
      <c r="X145" s="11"/>
      <c r="Y145" s="11"/>
      <c r="Z145" s="11"/>
      <c r="AA145" s="11"/>
      <c r="AB145" s="11"/>
      <c r="AC145" s="11"/>
      <c r="AD145" s="30"/>
      <c r="AE145" s="31"/>
      <c r="AF145" s="3">
        <f t="shared" si="36"/>
        <v>0</v>
      </c>
      <c r="AG145" s="31"/>
      <c r="AH145" s="31"/>
      <c r="AI145" s="3">
        <f t="shared" si="37"/>
        <v>0</v>
      </c>
      <c r="AJ145" s="31"/>
      <c r="AK145" s="31"/>
      <c r="AL145" s="3">
        <f t="shared" si="38"/>
        <v>0</v>
      </c>
      <c r="AM145" s="3">
        <f>IF($A145&lt;&gt;"Yes",0,IF($R145="Detailed Breakdown",$AF145,$S145*IFERROR(VLOOKUP($B145,'Cost Library'!$A$2:$Q$159,14,FALSE),0.4)))</f>
        <v>0</v>
      </c>
      <c r="AN145" s="3">
        <f>IF($A145&lt;&gt;"Yes",0,IF($R145="Detailed Breakdown",$AI145,$S145*IFERROR(VLOOKUP($B145,'Cost Library'!$A$2:$Q$159,15,FALSE),0.5)))</f>
        <v>0</v>
      </c>
      <c r="AO145" s="3">
        <f>IF($A145&lt;&gt;"Yes",0,IF($R145="Detailed Breakdown",$AJ145+$AK145,$S145*IFERROR(VLOOKUP($B145,'Cost Library'!$A$2:$Q$159,16,FALSE),0.1)))</f>
        <v>0</v>
      </c>
      <c r="AP145" s="3">
        <f t="shared" si="39"/>
        <v>0</v>
      </c>
      <c r="AQ145" s="32">
        <f t="shared" si="40"/>
        <v>0</v>
      </c>
      <c r="AR145" s="32">
        <f t="shared" si="41"/>
        <v>0</v>
      </c>
      <c r="AS145" s="32">
        <f t="shared" si="42"/>
        <v>0</v>
      </c>
      <c r="AT145" s="2" t="str">
        <f t="shared" si="43"/>
        <v/>
      </c>
      <c r="AU145" s="31" t="s">
        <v>116</v>
      </c>
      <c r="AV145" s="3">
        <f t="shared" si="44"/>
        <v>0</v>
      </c>
      <c r="AW145" s="3">
        <f t="shared" si="45"/>
        <v>0</v>
      </c>
      <c r="AX145" s="3">
        <f t="shared" si="46"/>
        <v>0</v>
      </c>
      <c r="AY145" s="3">
        <f t="shared" si="47"/>
        <v>0</v>
      </c>
      <c r="AZ145" s="3">
        <f t="shared" si="48"/>
        <v>0</v>
      </c>
      <c r="BA145" s="32">
        <f t="shared" si="49"/>
        <v>0</v>
      </c>
      <c r="BB145" s="2" t="str">
        <f t="shared" si="50"/>
        <v/>
      </c>
    </row>
    <row r="146" spans="1:54" ht="14.4">
      <c r="A146" s="13" t="s">
        <v>161</v>
      </c>
      <c r="B146" s="13"/>
      <c r="C146" s="14" t="str">
        <f>IFERROR(VLOOKUP($B146,'Cost Library'!$A$2:$M$159,2,FALSE),"")</f>
        <v/>
      </c>
      <c r="D146" s="14" t="str">
        <f>IFERROR(VLOOKUP($B146,'Cost Library'!$A$2:$M$159,3,FALSE),"")</f>
        <v/>
      </c>
      <c r="E146" s="13"/>
      <c r="F146" s="13"/>
      <c r="G146" s="13" t="str">
        <f>IFERROR(VLOOKUP($B146,'Cost Library'!$A$2:$M$159,5,FALSE),"")</f>
        <v/>
      </c>
      <c r="H146" s="13"/>
      <c r="I146" s="13"/>
      <c r="J146" s="13"/>
      <c r="K146" s="13"/>
      <c r="L146" s="13">
        <v>1</v>
      </c>
      <c r="M146" s="14" t="str">
        <f>IFERROR(VLOOKUP($B146,'Cost Library'!$A$2:$M$159,6,FALSE),"")</f>
        <v/>
      </c>
      <c r="N146" s="15">
        <f>IFERROR(VLOOKUP($B146,'Cost Library'!$A$2:$M$159,7,FALSE),0)</f>
        <v>0</v>
      </c>
      <c r="O146" s="15">
        <f>IFERROR(VLOOKUP($B146,'Cost Library'!$A$2:$M$159,8,FALSE),0)</f>
        <v>0</v>
      </c>
      <c r="P146" s="15">
        <f>IFERROR(VLOOKUP($B146,'Cost Library'!$A$2:$M$159,9,FALSE),0)</f>
        <v>0</v>
      </c>
      <c r="Q146" s="16"/>
      <c r="R146" s="16" t="s">
        <v>116</v>
      </c>
      <c r="S146" s="17">
        <f t="shared" si="34"/>
        <v>0</v>
      </c>
      <c r="T146" s="18">
        <f>'Project Inputs'!$C$15</f>
        <v>0.1</v>
      </c>
      <c r="U146" s="17">
        <f t="shared" si="35"/>
        <v>0</v>
      </c>
      <c r="V146" s="11" t="s">
        <v>247</v>
      </c>
      <c r="W146" s="14" t="str">
        <f>IFERROR(VLOOKUP($B146,'Cost Library'!$A$2:$M$159,10,FALSE),"")</f>
        <v/>
      </c>
      <c r="X146" s="11"/>
      <c r="Y146" s="11"/>
      <c r="Z146" s="11"/>
      <c r="AA146" s="11"/>
      <c r="AB146" s="11"/>
      <c r="AC146" s="11"/>
      <c r="AD146" s="30"/>
      <c r="AE146" s="31"/>
      <c r="AF146" s="3">
        <f t="shared" si="36"/>
        <v>0</v>
      </c>
      <c r="AG146" s="31"/>
      <c r="AH146" s="31"/>
      <c r="AI146" s="3">
        <f t="shared" si="37"/>
        <v>0</v>
      </c>
      <c r="AJ146" s="31"/>
      <c r="AK146" s="31"/>
      <c r="AL146" s="3">
        <f t="shared" si="38"/>
        <v>0</v>
      </c>
      <c r="AM146" s="3">
        <f>IF($A146&lt;&gt;"Yes",0,IF($R146="Detailed Breakdown",$AF146,$S146*IFERROR(VLOOKUP($B146,'Cost Library'!$A$2:$Q$159,14,FALSE),0.4)))</f>
        <v>0</v>
      </c>
      <c r="AN146" s="3">
        <f>IF($A146&lt;&gt;"Yes",0,IF($R146="Detailed Breakdown",$AI146,$S146*IFERROR(VLOOKUP($B146,'Cost Library'!$A$2:$Q$159,15,FALSE),0.5)))</f>
        <v>0</v>
      </c>
      <c r="AO146" s="3">
        <f>IF($A146&lt;&gt;"Yes",0,IF($R146="Detailed Breakdown",$AJ146+$AK146,$S146*IFERROR(VLOOKUP($B146,'Cost Library'!$A$2:$Q$159,16,FALSE),0.1)))</f>
        <v>0</v>
      </c>
      <c r="AP146" s="3">
        <f t="shared" si="39"/>
        <v>0</v>
      </c>
      <c r="AQ146" s="32">
        <f t="shared" si="40"/>
        <v>0</v>
      </c>
      <c r="AR146" s="32">
        <f t="shared" si="41"/>
        <v>0</v>
      </c>
      <c r="AS146" s="32">
        <f t="shared" si="42"/>
        <v>0</v>
      </c>
      <c r="AT146" s="2" t="str">
        <f t="shared" si="43"/>
        <v/>
      </c>
      <c r="AU146" s="31" t="s">
        <v>116</v>
      </c>
      <c r="AV146" s="3">
        <f t="shared" si="44"/>
        <v>0</v>
      </c>
      <c r="AW146" s="3">
        <f t="shared" si="45"/>
        <v>0</v>
      </c>
      <c r="AX146" s="3">
        <f t="shared" si="46"/>
        <v>0</v>
      </c>
      <c r="AY146" s="3">
        <f t="shared" si="47"/>
        <v>0</v>
      </c>
      <c r="AZ146" s="3">
        <f t="shared" si="48"/>
        <v>0</v>
      </c>
      <c r="BA146" s="32">
        <f t="shared" si="49"/>
        <v>0</v>
      </c>
      <c r="BB146" s="2" t="str">
        <f t="shared" si="50"/>
        <v/>
      </c>
    </row>
    <row r="147" spans="1:54" ht="14.4">
      <c r="A147" s="13" t="s">
        <v>161</v>
      </c>
      <c r="B147" s="13"/>
      <c r="C147" s="14" t="str">
        <f>IFERROR(VLOOKUP($B147,'Cost Library'!$A$2:$M$159,2,FALSE),"")</f>
        <v/>
      </c>
      <c r="D147" s="14" t="str">
        <f>IFERROR(VLOOKUP($B147,'Cost Library'!$A$2:$M$159,3,FALSE),"")</f>
        <v/>
      </c>
      <c r="E147" s="13"/>
      <c r="F147" s="13"/>
      <c r="G147" s="13" t="str">
        <f>IFERROR(VLOOKUP($B147,'Cost Library'!$A$2:$M$159,5,FALSE),"")</f>
        <v/>
      </c>
      <c r="H147" s="13"/>
      <c r="I147" s="13"/>
      <c r="J147" s="13"/>
      <c r="K147" s="13"/>
      <c r="L147" s="13">
        <v>1</v>
      </c>
      <c r="M147" s="14" t="str">
        <f>IFERROR(VLOOKUP($B147,'Cost Library'!$A$2:$M$159,6,FALSE),"")</f>
        <v/>
      </c>
      <c r="N147" s="15">
        <f>IFERROR(VLOOKUP($B147,'Cost Library'!$A$2:$M$159,7,FALSE),0)</f>
        <v>0</v>
      </c>
      <c r="O147" s="15">
        <f>IFERROR(VLOOKUP($B147,'Cost Library'!$A$2:$M$159,8,FALSE),0)</f>
        <v>0</v>
      </c>
      <c r="P147" s="15">
        <f>IFERROR(VLOOKUP($B147,'Cost Library'!$A$2:$M$159,9,FALSE),0)</f>
        <v>0</v>
      </c>
      <c r="Q147" s="16"/>
      <c r="R147" s="16" t="s">
        <v>116</v>
      </c>
      <c r="S147" s="17">
        <f t="shared" si="34"/>
        <v>0</v>
      </c>
      <c r="T147" s="18">
        <f>'Project Inputs'!$C$15</f>
        <v>0.1</v>
      </c>
      <c r="U147" s="17">
        <f t="shared" si="35"/>
        <v>0</v>
      </c>
      <c r="V147" s="11" t="s">
        <v>247</v>
      </c>
      <c r="W147" s="14" t="str">
        <f>IFERROR(VLOOKUP($B147,'Cost Library'!$A$2:$M$159,10,FALSE),"")</f>
        <v/>
      </c>
      <c r="X147" s="11"/>
      <c r="Y147" s="11"/>
      <c r="Z147" s="11"/>
      <c r="AA147" s="11"/>
      <c r="AB147" s="11"/>
      <c r="AC147" s="11"/>
      <c r="AD147" s="30"/>
      <c r="AE147" s="31"/>
      <c r="AF147" s="3">
        <f t="shared" si="36"/>
        <v>0</v>
      </c>
      <c r="AG147" s="31"/>
      <c r="AH147" s="31"/>
      <c r="AI147" s="3">
        <f t="shared" si="37"/>
        <v>0</v>
      </c>
      <c r="AJ147" s="31"/>
      <c r="AK147" s="31"/>
      <c r="AL147" s="3">
        <f t="shared" si="38"/>
        <v>0</v>
      </c>
      <c r="AM147" s="3">
        <f>IF($A147&lt;&gt;"Yes",0,IF($R147="Detailed Breakdown",$AF147,$S147*IFERROR(VLOOKUP($B147,'Cost Library'!$A$2:$Q$159,14,FALSE),0.4)))</f>
        <v>0</v>
      </c>
      <c r="AN147" s="3">
        <f>IF($A147&lt;&gt;"Yes",0,IF($R147="Detailed Breakdown",$AI147,$S147*IFERROR(VLOOKUP($B147,'Cost Library'!$A$2:$Q$159,15,FALSE),0.5)))</f>
        <v>0</v>
      </c>
      <c r="AO147" s="3">
        <f>IF($A147&lt;&gt;"Yes",0,IF($R147="Detailed Breakdown",$AJ147+$AK147,$S147*IFERROR(VLOOKUP($B147,'Cost Library'!$A$2:$Q$159,16,FALSE),0.1)))</f>
        <v>0</v>
      </c>
      <c r="AP147" s="3">
        <f t="shared" si="39"/>
        <v>0</v>
      </c>
      <c r="AQ147" s="32">
        <f t="shared" si="40"/>
        <v>0</v>
      </c>
      <c r="AR147" s="32">
        <f t="shared" si="41"/>
        <v>0</v>
      </c>
      <c r="AS147" s="32">
        <f t="shared" si="42"/>
        <v>0</v>
      </c>
      <c r="AT147" s="2" t="str">
        <f t="shared" si="43"/>
        <v/>
      </c>
      <c r="AU147" s="31" t="s">
        <v>116</v>
      </c>
      <c r="AV147" s="3">
        <f t="shared" si="44"/>
        <v>0</v>
      </c>
      <c r="AW147" s="3">
        <f t="shared" si="45"/>
        <v>0</v>
      </c>
      <c r="AX147" s="3">
        <f t="shared" si="46"/>
        <v>0</v>
      </c>
      <c r="AY147" s="3">
        <f t="shared" si="47"/>
        <v>0</v>
      </c>
      <c r="AZ147" s="3">
        <f t="shared" si="48"/>
        <v>0</v>
      </c>
      <c r="BA147" s="32">
        <f t="shared" si="49"/>
        <v>0</v>
      </c>
      <c r="BB147" s="2" t="str">
        <f t="shared" si="50"/>
        <v/>
      </c>
    </row>
    <row r="148" spans="1:54" ht="14.4">
      <c r="A148" s="13" t="s">
        <v>161</v>
      </c>
      <c r="B148" s="13"/>
      <c r="C148" s="14" t="str">
        <f>IFERROR(VLOOKUP($B148,'Cost Library'!$A$2:$M$159,2,FALSE),"")</f>
        <v/>
      </c>
      <c r="D148" s="14" t="str">
        <f>IFERROR(VLOOKUP($B148,'Cost Library'!$A$2:$M$159,3,FALSE),"")</f>
        <v/>
      </c>
      <c r="E148" s="13"/>
      <c r="F148" s="13"/>
      <c r="G148" s="13" t="str">
        <f>IFERROR(VLOOKUP($B148,'Cost Library'!$A$2:$M$159,5,FALSE),"")</f>
        <v/>
      </c>
      <c r="H148" s="13"/>
      <c r="I148" s="13"/>
      <c r="J148" s="13"/>
      <c r="K148" s="13"/>
      <c r="L148" s="13">
        <v>1</v>
      </c>
      <c r="M148" s="14" t="str">
        <f>IFERROR(VLOOKUP($B148,'Cost Library'!$A$2:$M$159,6,FALSE),"")</f>
        <v/>
      </c>
      <c r="N148" s="15">
        <f>IFERROR(VLOOKUP($B148,'Cost Library'!$A$2:$M$159,7,FALSE),0)</f>
        <v>0</v>
      </c>
      <c r="O148" s="15">
        <f>IFERROR(VLOOKUP($B148,'Cost Library'!$A$2:$M$159,8,FALSE),0)</f>
        <v>0</v>
      </c>
      <c r="P148" s="15">
        <f>IFERROR(VLOOKUP($B148,'Cost Library'!$A$2:$M$159,9,FALSE),0)</f>
        <v>0</v>
      </c>
      <c r="Q148" s="16"/>
      <c r="R148" s="16" t="s">
        <v>116</v>
      </c>
      <c r="S148" s="17">
        <f t="shared" si="34"/>
        <v>0</v>
      </c>
      <c r="T148" s="18">
        <f>'Project Inputs'!$C$15</f>
        <v>0.1</v>
      </c>
      <c r="U148" s="17">
        <f t="shared" si="35"/>
        <v>0</v>
      </c>
      <c r="V148" s="11" t="s">
        <v>247</v>
      </c>
      <c r="W148" s="14" t="str">
        <f>IFERROR(VLOOKUP($B148,'Cost Library'!$A$2:$M$159,10,FALSE),"")</f>
        <v/>
      </c>
      <c r="X148" s="11"/>
      <c r="Y148" s="11"/>
      <c r="Z148" s="11"/>
      <c r="AA148" s="11"/>
      <c r="AB148" s="11"/>
      <c r="AC148" s="11"/>
      <c r="AD148" s="30"/>
      <c r="AE148" s="31"/>
      <c r="AF148" s="3">
        <f t="shared" si="36"/>
        <v>0</v>
      </c>
      <c r="AG148" s="31"/>
      <c r="AH148" s="31"/>
      <c r="AI148" s="3">
        <f t="shared" si="37"/>
        <v>0</v>
      </c>
      <c r="AJ148" s="31"/>
      <c r="AK148" s="31"/>
      <c r="AL148" s="3">
        <f t="shared" si="38"/>
        <v>0</v>
      </c>
      <c r="AM148" s="3">
        <f>IF($A148&lt;&gt;"Yes",0,IF($R148="Detailed Breakdown",$AF148,$S148*IFERROR(VLOOKUP($B148,'Cost Library'!$A$2:$Q$159,14,FALSE),0.4)))</f>
        <v>0</v>
      </c>
      <c r="AN148" s="3">
        <f>IF($A148&lt;&gt;"Yes",0,IF($R148="Detailed Breakdown",$AI148,$S148*IFERROR(VLOOKUP($B148,'Cost Library'!$A$2:$Q$159,15,FALSE),0.5)))</f>
        <v>0</v>
      </c>
      <c r="AO148" s="3">
        <f>IF($A148&lt;&gt;"Yes",0,IF($R148="Detailed Breakdown",$AJ148+$AK148,$S148*IFERROR(VLOOKUP($B148,'Cost Library'!$A$2:$Q$159,16,FALSE),0.1)))</f>
        <v>0</v>
      </c>
      <c r="AP148" s="3">
        <f t="shared" si="39"/>
        <v>0</v>
      </c>
      <c r="AQ148" s="32">
        <f t="shared" si="40"/>
        <v>0</v>
      </c>
      <c r="AR148" s="32">
        <f t="shared" si="41"/>
        <v>0</v>
      </c>
      <c r="AS148" s="32">
        <f t="shared" si="42"/>
        <v>0</v>
      </c>
      <c r="AT148" s="2" t="str">
        <f t="shared" si="43"/>
        <v/>
      </c>
      <c r="AU148" s="31" t="s">
        <v>116</v>
      </c>
      <c r="AV148" s="3">
        <f t="shared" si="44"/>
        <v>0</v>
      </c>
      <c r="AW148" s="3">
        <f t="shared" si="45"/>
        <v>0</v>
      </c>
      <c r="AX148" s="3">
        <f t="shared" si="46"/>
        <v>0</v>
      </c>
      <c r="AY148" s="3">
        <f t="shared" si="47"/>
        <v>0</v>
      </c>
      <c r="AZ148" s="3">
        <f t="shared" si="48"/>
        <v>0</v>
      </c>
      <c r="BA148" s="32">
        <f t="shared" si="49"/>
        <v>0</v>
      </c>
      <c r="BB148" s="2" t="str">
        <f t="shared" si="50"/>
        <v/>
      </c>
    </row>
    <row r="149" spans="1:54" ht="14.4">
      <c r="A149" s="13" t="s">
        <v>161</v>
      </c>
      <c r="B149" s="13"/>
      <c r="C149" s="14" t="str">
        <f>IFERROR(VLOOKUP($B149,'Cost Library'!$A$2:$M$159,2,FALSE),"")</f>
        <v/>
      </c>
      <c r="D149" s="14" t="str">
        <f>IFERROR(VLOOKUP($B149,'Cost Library'!$A$2:$M$159,3,FALSE),"")</f>
        <v/>
      </c>
      <c r="E149" s="13"/>
      <c r="F149" s="13"/>
      <c r="G149" s="13" t="str">
        <f>IFERROR(VLOOKUP($B149,'Cost Library'!$A$2:$M$159,5,FALSE),"")</f>
        <v/>
      </c>
      <c r="H149" s="13"/>
      <c r="I149" s="13"/>
      <c r="J149" s="13"/>
      <c r="K149" s="13"/>
      <c r="L149" s="13">
        <v>1</v>
      </c>
      <c r="M149" s="14" t="str">
        <f>IFERROR(VLOOKUP($B149,'Cost Library'!$A$2:$M$159,6,FALSE),"")</f>
        <v/>
      </c>
      <c r="N149" s="15">
        <f>IFERROR(VLOOKUP($B149,'Cost Library'!$A$2:$M$159,7,FALSE),0)</f>
        <v>0</v>
      </c>
      <c r="O149" s="15">
        <f>IFERROR(VLOOKUP($B149,'Cost Library'!$A$2:$M$159,8,FALSE),0)</f>
        <v>0</v>
      </c>
      <c r="P149" s="15">
        <f>IFERROR(VLOOKUP($B149,'Cost Library'!$A$2:$M$159,9,FALSE),0)</f>
        <v>0</v>
      </c>
      <c r="Q149" s="16"/>
      <c r="R149" s="16" t="s">
        <v>116</v>
      </c>
      <c r="S149" s="17">
        <f t="shared" si="34"/>
        <v>0</v>
      </c>
      <c r="T149" s="18">
        <f>'Project Inputs'!$C$15</f>
        <v>0.1</v>
      </c>
      <c r="U149" s="17">
        <f t="shared" si="35"/>
        <v>0</v>
      </c>
      <c r="V149" s="11" t="s">
        <v>247</v>
      </c>
      <c r="W149" s="14" t="str">
        <f>IFERROR(VLOOKUP($B149,'Cost Library'!$A$2:$M$159,10,FALSE),"")</f>
        <v/>
      </c>
      <c r="X149" s="11"/>
      <c r="Y149" s="11"/>
      <c r="Z149" s="11"/>
      <c r="AA149" s="11"/>
      <c r="AB149" s="11"/>
      <c r="AC149" s="11"/>
      <c r="AD149" s="30"/>
      <c r="AE149" s="31"/>
      <c r="AF149" s="3">
        <f t="shared" si="36"/>
        <v>0</v>
      </c>
      <c r="AG149" s="31"/>
      <c r="AH149" s="31"/>
      <c r="AI149" s="3">
        <f t="shared" si="37"/>
        <v>0</v>
      </c>
      <c r="AJ149" s="31"/>
      <c r="AK149" s="31"/>
      <c r="AL149" s="3">
        <f t="shared" si="38"/>
        <v>0</v>
      </c>
      <c r="AM149" s="3">
        <f>IF($A149&lt;&gt;"Yes",0,IF($R149="Detailed Breakdown",$AF149,$S149*IFERROR(VLOOKUP($B149,'Cost Library'!$A$2:$Q$159,14,FALSE),0.4)))</f>
        <v>0</v>
      </c>
      <c r="AN149" s="3">
        <f>IF($A149&lt;&gt;"Yes",0,IF($R149="Detailed Breakdown",$AI149,$S149*IFERROR(VLOOKUP($B149,'Cost Library'!$A$2:$Q$159,15,FALSE),0.5)))</f>
        <v>0</v>
      </c>
      <c r="AO149" s="3">
        <f>IF($A149&lt;&gt;"Yes",0,IF($R149="Detailed Breakdown",$AJ149+$AK149,$S149*IFERROR(VLOOKUP($B149,'Cost Library'!$A$2:$Q$159,16,FALSE),0.1)))</f>
        <v>0</v>
      </c>
      <c r="AP149" s="3">
        <f t="shared" si="39"/>
        <v>0</v>
      </c>
      <c r="AQ149" s="32">
        <f t="shared" si="40"/>
        <v>0</v>
      </c>
      <c r="AR149" s="32">
        <f t="shared" si="41"/>
        <v>0</v>
      </c>
      <c r="AS149" s="32">
        <f t="shared" si="42"/>
        <v>0</v>
      </c>
      <c r="AT149" s="2" t="str">
        <f t="shared" si="43"/>
        <v/>
      </c>
      <c r="AU149" s="31" t="s">
        <v>116</v>
      </c>
      <c r="AV149" s="3">
        <f t="shared" si="44"/>
        <v>0</v>
      </c>
      <c r="AW149" s="3">
        <f t="shared" si="45"/>
        <v>0</v>
      </c>
      <c r="AX149" s="3">
        <f t="shared" si="46"/>
        <v>0</v>
      </c>
      <c r="AY149" s="3">
        <f t="shared" si="47"/>
        <v>0</v>
      </c>
      <c r="AZ149" s="3">
        <f t="shared" si="48"/>
        <v>0</v>
      </c>
      <c r="BA149" s="32">
        <f t="shared" si="49"/>
        <v>0</v>
      </c>
      <c r="BB149" s="2" t="str">
        <f t="shared" si="50"/>
        <v/>
      </c>
    </row>
    <row r="150" spans="1:54" ht="14.4">
      <c r="A150" s="13" t="s">
        <v>161</v>
      </c>
      <c r="B150" s="13"/>
      <c r="C150" s="14" t="str">
        <f>IFERROR(VLOOKUP($B150,'Cost Library'!$A$2:$M$159,2,FALSE),"")</f>
        <v/>
      </c>
      <c r="D150" s="14" t="str">
        <f>IFERROR(VLOOKUP($B150,'Cost Library'!$A$2:$M$159,3,FALSE),"")</f>
        <v/>
      </c>
      <c r="E150" s="13"/>
      <c r="F150" s="13"/>
      <c r="G150" s="13" t="str">
        <f>IFERROR(VLOOKUP($B150,'Cost Library'!$A$2:$M$159,5,FALSE),"")</f>
        <v/>
      </c>
      <c r="H150" s="13"/>
      <c r="I150" s="13"/>
      <c r="J150" s="13"/>
      <c r="K150" s="13"/>
      <c r="L150" s="13">
        <v>1</v>
      </c>
      <c r="M150" s="14" t="str">
        <f>IFERROR(VLOOKUP($B150,'Cost Library'!$A$2:$M$159,6,FALSE),"")</f>
        <v/>
      </c>
      <c r="N150" s="15">
        <f>IFERROR(VLOOKUP($B150,'Cost Library'!$A$2:$M$159,7,FALSE),0)</f>
        <v>0</v>
      </c>
      <c r="O150" s="15">
        <f>IFERROR(VLOOKUP($B150,'Cost Library'!$A$2:$M$159,8,FALSE),0)</f>
        <v>0</v>
      </c>
      <c r="P150" s="15">
        <f>IFERROR(VLOOKUP($B150,'Cost Library'!$A$2:$M$159,9,FALSE),0)</f>
        <v>0</v>
      </c>
      <c r="Q150" s="16"/>
      <c r="R150" s="16" t="s">
        <v>116</v>
      </c>
      <c r="S150" s="17">
        <f t="shared" si="34"/>
        <v>0</v>
      </c>
      <c r="T150" s="18">
        <f>'Project Inputs'!$C$15</f>
        <v>0.1</v>
      </c>
      <c r="U150" s="17">
        <f t="shared" si="35"/>
        <v>0</v>
      </c>
      <c r="V150" s="11" t="s">
        <v>247</v>
      </c>
      <c r="W150" s="14" t="str">
        <f>IFERROR(VLOOKUP($B150,'Cost Library'!$A$2:$M$159,10,FALSE),"")</f>
        <v/>
      </c>
      <c r="X150" s="11"/>
      <c r="Y150" s="11"/>
      <c r="Z150" s="11"/>
      <c r="AA150" s="11"/>
      <c r="AB150" s="11"/>
      <c r="AC150" s="11"/>
      <c r="AD150" s="30"/>
      <c r="AE150" s="31"/>
      <c r="AF150" s="3">
        <f t="shared" si="36"/>
        <v>0</v>
      </c>
      <c r="AG150" s="31"/>
      <c r="AH150" s="31"/>
      <c r="AI150" s="3">
        <f t="shared" si="37"/>
        <v>0</v>
      </c>
      <c r="AJ150" s="31"/>
      <c r="AK150" s="31"/>
      <c r="AL150" s="3">
        <f t="shared" si="38"/>
        <v>0</v>
      </c>
      <c r="AM150" s="3">
        <f>IF($A150&lt;&gt;"Yes",0,IF($R150="Detailed Breakdown",$AF150,$S150*IFERROR(VLOOKUP($B150,'Cost Library'!$A$2:$Q$159,14,FALSE),0.4)))</f>
        <v>0</v>
      </c>
      <c r="AN150" s="3">
        <f>IF($A150&lt;&gt;"Yes",0,IF($R150="Detailed Breakdown",$AI150,$S150*IFERROR(VLOOKUP($B150,'Cost Library'!$A$2:$Q$159,15,FALSE),0.5)))</f>
        <v>0</v>
      </c>
      <c r="AO150" s="3">
        <f>IF($A150&lt;&gt;"Yes",0,IF($R150="Detailed Breakdown",$AJ150+$AK150,$S150*IFERROR(VLOOKUP($B150,'Cost Library'!$A$2:$Q$159,16,FALSE),0.1)))</f>
        <v>0</v>
      </c>
      <c r="AP150" s="3">
        <f t="shared" si="39"/>
        <v>0</v>
      </c>
      <c r="AQ150" s="32">
        <f t="shared" si="40"/>
        <v>0</v>
      </c>
      <c r="AR150" s="32">
        <f t="shared" si="41"/>
        <v>0</v>
      </c>
      <c r="AS150" s="32">
        <f t="shared" si="42"/>
        <v>0</v>
      </c>
      <c r="AT150" s="2" t="str">
        <f t="shared" si="43"/>
        <v/>
      </c>
      <c r="AU150" s="31" t="s">
        <v>116</v>
      </c>
      <c r="AV150" s="3">
        <f t="shared" si="44"/>
        <v>0</v>
      </c>
      <c r="AW150" s="3">
        <f t="shared" si="45"/>
        <v>0</v>
      </c>
      <c r="AX150" s="3">
        <f t="shared" si="46"/>
        <v>0</v>
      </c>
      <c r="AY150" s="3">
        <f t="shared" si="47"/>
        <v>0</v>
      </c>
      <c r="AZ150" s="3">
        <f t="shared" si="48"/>
        <v>0</v>
      </c>
      <c r="BA150" s="32">
        <f t="shared" si="49"/>
        <v>0</v>
      </c>
      <c r="BB150" s="2" t="str">
        <f t="shared" si="50"/>
        <v/>
      </c>
    </row>
    <row r="151" spans="1:54" ht="14.4">
      <c r="A151" s="13" t="s">
        <v>161</v>
      </c>
      <c r="B151" s="13"/>
      <c r="C151" s="14" t="str">
        <f>IFERROR(VLOOKUP($B151,'Cost Library'!$A$2:$M$159,2,FALSE),"")</f>
        <v/>
      </c>
      <c r="D151" s="14" t="str">
        <f>IFERROR(VLOOKUP($B151,'Cost Library'!$A$2:$M$159,3,FALSE),"")</f>
        <v/>
      </c>
      <c r="E151" s="13"/>
      <c r="F151" s="13"/>
      <c r="G151" s="13" t="str">
        <f>IFERROR(VLOOKUP($B151,'Cost Library'!$A$2:$M$159,5,FALSE),"")</f>
        <v/>
      </c>
      <c r="H151" s="13"/>
      <c r="I151" s="13"/>
      <c r="J151" s="13"/>
      <c r="K151" s="13"/>
      <c r="L151" s="13">
        <v>1</v>
      </c>
      <c r="M151" s="14" t="str">
        <f>IFERROR(VLOOKUP($B151,'Cost Library'!$A$2:$M$159,6,FALSE),"")</f>
        <v/>
      </c>
      <c r="N151" s="15">
        <f>IFERROR(VLOOKUP($B151,'Cost Library'!$A$2:$M$159,7,FALSE),0)</f>
        <v>0</v>
      </c>
      <c r="O151" s="15">
        <f>IFERROR(VLOOKUP($B151,'Cost Library'!$A$2:$M$159,8,FALSE),0)</f>
        <v>0</v>
      </c>
      <c r="P151" s="15">
        <f>IFERROR(VLOOKUP($B151,'Cost Library'!$A$2:$M$159,9,FALSE),0)</f>
        <v>0</v>
      </c>
      <c r="Q151" s="16"/>
      <c r="R151" s="16" t="s">
        <v>116</v>
      </c>
      <c r="S151" s="17">
        <f t="shared" si="34"/>
        <v>0</v>
      </c>
      <c r="T151" s="18">
        <f>'Project Inputs'!$C$15</f>
        <v>0.1</v>
      </c>
      <c r="U151" s="17">
        <f t="shared" si="35"/>
        <v>0</v>
      </c>
      <c r="V151" s="11" t="s">
        <v>247</v>
      </c>
      <c r="W151" s="14" t="str">
        <f>IFERROR(VLOOKUP($B151,'Cost Library'!$A$2:$M$159,10,FALSE),"")</f>
        <v/>
      </c>
      <c r="X151" s="11"/>
      <c r="Y151" s="11"/>
      <c r="Z151" s="11"/>
      <c r="AA151" s="11"/>
      <c r="AB151" s="11"/>
      <c r="AC151" s="11"/>
      <c r="AD151" s="30"/>
      <c r="AE151" s="31"/>
      <c r="AF151" s="3">
        <f t="shared" si="36"/>
        <v>0</v>
      </c>
      <c r="AG151" s="31"/>
      <c r="AH151" s="31"/>
      <c r="AI151" s="3">
        <f t="shared" si="37"/>
        <v>0</v>
      </c>
      <c r="AJ151" s="31"/>
      <c r="AK151" s="31"/>
      <c r="AL151" s="3">
        <f t="shared" si="38"/>
        <v>0</v>
      </c>
      <c r="AM151" s="3">
        <f>IF($A151&lt;&gt;"Yes",0,IF($R151="Detailed Breakdown",$AF151,$S151*IFERROR(VLOOKUP($B151,'Cost Library'!$A$2:$Q$159,14,FALSE),0.4)))</f>
        <v>0</v>
      </c>
      <c r="AN151" s="3">
        <f>IF($A151&lt;&gt;"Yes",0,IF($R151="Detailed Breakdown",$AI151,$S151*IFERROR(VLOOKUP($B151,'Cost Library'!$A$2:$Q$159,15,FALSE),0.5)))</f>
        <v>0</v>
      </c>
      <c r="AO151" s="3">
        <f>IF($A151&lt;&gt;"Yes",0,IF($R151="Detailed Breakdown",$AJ151+$AK151,$S151*IFERROR(VLOOKUP($B151,'Cost Library'!$A$2:$Q$159,16,FALSE),0.1)))</f>
        <v>0</v>
      </c>
      <c r="AP151" s="3">
        <f t="shared" si="39"/>
        <v>0</v>
      </c>
      <c r="AQ151" s="32">
        <f t="shared" si="40"/>
        <v>0</v>
      </c>
      <c r="AR151" s="32">
        <f t="shared" si="41"/>
        <v>0</v>
      </c>
      <c r="AS151" s="32">
        <f t="shared" si="42"/>
        <v>0</v>
      </c>
      <c r="AT151" s="2" t="str">
        <f t="shared" si="43"/>
        <v/>
      </c>
      <c r="AU151" s="31" t="s">
        <v>116</v>
      </c>
      <c r="AV151" s="3">
        <f t="shared" si="44"/>
        <v>0</v>
      </c>
      <c r="AW151" s="3">
        <f t="shared" si="45"/>
        <v>0</v>
      </c>
      <c r="AX151" s="3">
        <f t="shared" si="46"/>
        <v>0</v>
      </c>
      <c r="AY151" s="3">
        <f t="shared" si="47"/>
        <v>0</v>
      </c>
      <c r="AZ151" s="3">
        <f t="shared" si="48"/>
        <v>0</v>
      </c>
      <c r="BA151" s="32">
        <f t="shared" si="49"/>
        <v>0</v>
      </c>
      <c r="BB151" s="2" t="str">
        <f t="shared" si="50"/>
        <v/>
      </c>
    </row>
    <row r="152" spans="1:54" ht="14.4">
      <c r="A152" s="13" t="s">
        <v>161</v>
      </c>
      <c r="B152" s="13"/>
      <c r="C152" s="14" t="str">
        <f>IFERROR(VLOOKUP($B152,'Cost Library'!$A$2:$M$159,2,FALSE),"")</f>
        <v/>
      </c>
      <c r="D152" s="14" t="str">
        <f>IFERROR(VLOOKUP($B152,'Cost Library'!$A$2:$M$159,3,FALSE),"")</f>
        <v/>
      </c>
      <c r="E152" s="13"/>
      <c r="F152" s="13"/>
      <c r="G152" s="13" t="str">
        <f>IFERROR(VLOOKUP($B152,'Cost Library'!$A$2:$M$159,5,FALSE),"")</f>
        <v/>
      </c>
      <c r="H152" s="13"/>
      <c r="I152" s="13"/>
      <c r="J152" s="13"/>
      <c r="K152" s="13"/>
      <c r="L152" s="13">
        <v>1</v>
      </c>
      <c r="M152" s="14" t="str">
        <f>IFERROR(VLOOKUP($B152,'Cost Library'!$A$2:$M$159,6,FALSE),"")</f>
        <v/>
      </c>
      <c r="N152" s="15">
        <f>IFERROR(VLOOKUP($B152,'Cost Library'!$A$2:$M$159,7,FALSE),0)</f>
        <v>0</v>
      </c>
      <c r="O152" s="15">
        <f>IFERROR(VLOOKUP($B152,'Cost Library'!$A$2:$M$159,8,FALSE),0)</f>
        <v>0</v>
      </c>
      <c r="P152" s="15">
        <f>IFERROR(VLOOKUP($B152,'Cost Library'!$A$2:$M$159,9,FALSE),0)</f>
        <v>0</v>
      </c>
      <c r="Q152" s="16"/>
      <c r="R152" s="16" t="s">
        <v>116</v>
      </c>
      <c r="S152" s="17">
        <f t="shared" si="34"/>
        <v>0</v>
      </c>
      <c r="T152" s="18">
        <f>'Project Inputs'!$C$15</f>
        <v>0.1</v>
      </c>
      <c r="U152" s="17">
        <f t="shared" si="35"/>
        <v>0</v>
      </c>
      <c r="V152" s="11" t="s">
        <v>247</v>
      </c>
      <c r="W152" s="14" t="str">
        <f>IFERROR(VLOOKUP($B152,'Cost Library'!$A$2:$M$159,10,FALSE),"")</f>
        <v/>
      </c>
      <c r="X152" s="11"/>
      <c r="Y152" s="11"/>
      <c r="Z152" s="11"/>
      <c r="AA152" s="11"/>
      <c r="AB152" s="11"/>
      <c r="AC152" s="11"/>
      <c r="AD152" s="30"/>
      <c r="AE152" s="31"/>
      <c r="AF152" s="3">
        <f t="shared" si="36"/>
        <v>0</v>
      </c>
      <c r="AG152" s="31"/>
      <c r="AH152" s="31"/>
      <c r="AI152" s="3">
        <f t="shared" si="37"/>
        <v>0</v>
      </c>
      <c r="AJ152" s="31"/>
      <c r="AK152" s="31"/>
      <c r="AL152" s="3">
        <f t="shared" si="38"/>
        <v>0</v>
      </c>
      <c r="AM152" s="3">
        <f>IF($A152&lt;&gt;"Yes",0,IF($R152="Detailed Breakdown",$AF152,$S152*IFERROR(VLOOKUP($B152,'Cost Library'!$A$2:$Q$159,14,FALSE),0.4)))</f>
        <v>0</v>
      </c>
      <c r="AN152" s="3">
        <f>IF($A152&lt;&gt;"Yes",0,IF($R152="Detailed Breakdown",$AI152,$S152*IFERROR(VLOOKUP($B152,'Cost Library'!$A$2:$Q$159,15,FALSE),0.5)))</f>
        <v>0</v>
      </c>
      <c r="AO152" s="3">
        <f>IF($A152&lt;&gt;"Yes",0,IF($R152="Detailed Breakdown",$AJ152+$AK152,$S152*IFERROR(VLOOKUP($B152,'Cost Library'!$A$2:$Q$159,16,FALSE),0.1)))</f>
        <v>0</v>
      </c>
      <c r="AP152" s="3">
        <f t="shared" si="39"/>
        <v>0</v>
      </c>
      <c r="AQ152" s="32">
        <f t="shared" si="40"/>
        <v>0</v>
      </c>
      <c r="AR152" s="32">
        <f t="shared" si="41"/>
        <v>0</v>
      </c>
      <c r="AS152" s="32">
        <f t="shared" si="42"/>
        <v>0</v>
      </c>
      <c r="AT152" s="2" t="str">
        <f t="shared" si="43"/>
        <v/>
      </c>
      <c r="AU152" s="31" t="s">
        <v>116</v>
      </c>
      <c r="AV152" s="3">
        <f t="shared" si="44"/>
        <v>0</v>
      </c>
      <c r="AW152" s="3">
        <f t="shared" si="45"/>
        <v>0</v>
      </c>
      <c r="AX152" s="3">
        <f t="shared" si="46"/>
        <v>0</v>
      </c>
      <c r="AY152" s="3">
        <f t="shared" si="47"/>
        <v>0</v>
      </c>
      <c r="AZ152" s="3">
        <f t="shared" si="48"/>
        <v>0</v>
      </c>
      <c r="BA152" s="32">
        <f t="shared" si="49"/>
        <v>0</v>
      </c>
      <c r="BB152" s="2" t="str">
        <f t="shared" si="50"/>
        <v/>
      </c>
    </row>
    <row r="153" spans="1:54" ht="14.4">
      <c r="A153" s="13" t="s">
        <v>161</v>
      </c>
      <c r="B153" s="13"/>
      <c r="C153" s="14" t="str">
        <f>IFERROR(VLOOKUP($B153,'Cost Library'!$A$2:$M$159,2,FALSE),"")</f>
        <v/>
      </c>
      <c r="D153" s="14" t="str">
        <f>IFERROR(VLOOKUP($B153,'Cost Library'!$A$2:$M$159,3,FALSE),"")</f>
        <v/>
      </c>
      <c r="E153" s="13"/>
      <c r="F153" s="13"/>
      <c r="G153" s="13" t="str">
        <f>IFERROR(VLOOKUP($B153,'Cost Library'!$A$2:$M$159,5,FALSE),"")</f>
        <v/>
      </c>
      <c r="H153" s="13"/>
      <c r="I153" s="13"/>
      <c r="J153" s="13"/>
      <c r="K153" s="13"/>
      <c r="L153" s="13">
        <v>1</v>
      </c>
      <c r="M153" s="14" t="str">
        <f>IFERROR(VLOOKUP($B153,'Cost Library'!$A$2:$M$159,6,FALSE),"")</f>
        <v/>
      </c>
      <c r="N153" s="15">
        <f>IFERROR(VLOOKUP($B153,'Cost Library'!$A$2:$M$159,7,FALSE),0)</f>
        <v>0</v>
      </c>
      <c r="O153" s="15">
        <f>IFERROR(VLOOKUP($B153,'Cost Library'!$A$2:$M$159,8,FALSE),0)</f>
        <v>0</v>
      </c>
      <c r="P153" s="15">
        <f>IFERROR(VLOOKUP($B153,'Cost Library'!$A$2:$M$159,9,FALSE),0)</f>
        <v>0</v>
      </c>
      <c r="Q153" s="16"/>
      <c r="R153" s="16" t="s">
        <v>116</v>
      </c>
      <c r="S153" s="17">
        <f t="shared" si="34"/>
        <v>0</v>
      </c>
      <c r="T153" s="18">
        <f>'Project Inputs'!$C$15</f>
        <v>0.1</v>
      </c>
      <c r="U153" s="17">
        <f t="shared" si="35"/>
        <v>0</v>
      </c>
      <c r="V153" s="11" t="s">
        <v>247</v>
      </c>
      <c r="W153" s="14" t="str">
        <f>IFERROR(VLOOKUP($B153,'Cost Library'!$A$2:$M$159,10,FALSE),"")</f>
        <v/>
      </c>
      <c r="X153" s="11"/>
      <c r="Y153" s="11"/>
      <c r="Z153" s="11"/>
      <c r="AA153" s="11"/>
      <c r="AB153" s="11"/>
      <c r="AC153" s="11"/>
      <c r="AD153" s="30"/>
      <c r="AE153" s="31"/>
      <c r="AF153" s="3">
        <f t="shared" si="36"/>
        <v>0</v>
      </c>
      <c r="AG153" s="31"/>
      <c r="AH153" s="31"/>
      <c r="AI153" s="3">
        <f t="shared" si="37"/>
        <v>0</v>
      </c>
      <c r="AJ153" s="31"/>
      <c r="AK153" s="31"/>
      <c r="AL153" s="3">
        <f t="shared" si="38"/>
        <v>0</v>
      </c>
      <c r="AM153" s="3">
        <f>IF($A153&lt;&gt;"Yes",0,IF($R153="Detailed Breakdown",$AF153,$S153*IFERROR(VLOOKUP($B153,'Cost Library'!$A$2:$Q$159,14,FALSE),0.4)))</f>
        <v>0</v>
      </c>
      <c r="AN153" s="3">
        <f>IF($A153&lt;&gt;"Yes",0,IF($R153="Detailed Breakdown",$AI153,$S153*IFERROR(VLOOKUP($B153,'Cost Library'!$A$2:$Q$159,15,FALSE),0.5)))</f>
        <v>0</v>
      </c>
      <c r="AO153" s="3">
        <f>IF($A153&lt;&gt;"Yes",0,IF($R153="Detailed Breakdown",$AJ153+$AK153,$S153*IFERROR(VLOOKUP($B153,'Cost Library'!$A$2:$Q$159,16,FALSE),0.1)))</f>
        <v>0</v>
      </c>
      <c r="AP153" s="3">
        <f t="shared" si="39"/>
        <v>0</v>
      </c>
      <c r="AQ153" s="32">
        <f t="shared" si="40"/>
        <v>0</v>
      </c>
      <c r="AR153" s="32">
        <f t="shared" si="41"/>
        <v>0</v>
      </c>
      <c r="AS153" s="32">
        <f t="shared" si="42"/>
        <v>0</v>
      </c>
      <c r="AT153" s="2" t="str">
        <f t="shared" si="43"/>
        <v/>
      </c>
      <c r="AU153" s="31" t="s">
        <v>116</v>
      </c>
      <c r="AV153" s="3">
        <f t="shared" si="44"/>
        <v>0</v>
      </c>
      <c r="AW153" s="3">
        <f t="shared" si="45"/>
        <v>0</v>
      </c>
      <c r="AX153" s="3">
        <f t="shared" si="46"/>
        <v>0</v>
      </c>
      <c r="AY153" s="3">
        <f t="shared" si="47"/>
        <v>0</v>
      </c>
      <c r="AZ153" s="3">
        <f t="shared" si="48"/>
        <v>0</v>
      </c>
      <c r="BA153" s="32">
        <f t="shared" si="49"/>
        <v>0</v>
      </c>
      <c r="BB153" s="2" t="str">
        <f t="shared" si="50"/>
        <v/>
      </c>
    </row>
    <row r="154" spans="1:54" ht="14.4">
      <c r="A154" s="13" t="s">
        <v>161</v>
      </c>
      <c r="B154" s="13"/>
      <c r="C154" s="14" t="str">
        <f>IFERROR(VLOOKUP($B154,'Cost Library'!$A$2:$M$159,2,FALSE),"")</f>
        <v/>
      </c>
      <c r="D154" s="14" t="str">
        <f>IFERROR(VLOOKUP($B154,'Cost Library'!$A$2:$M$159,3,FALSE),"")</f>
        <v/>
      </c>
      <c r="E154" s="13"/>
      <c r="F154" s="13"/>
      <c r="G154" s="13" t="str">
        <f>IFERROR(VLOOKUP($B154,'Cost Library'!$A$2:$M$159,5,FALSE),"")</f>
        <v/>
      </c>
      <c r="H154" s="13"/>
      <c r="I154" s="13"/>
      <c r="J154" s="13"/>
      <c r="K154" s="13"/>
      <c r="L154" s="13">
        <v>1</v>
      </c>
      <c r="M154" s="14" t="str">
        <f>IFERROR(VLOOKUP($B154,'Cost Library'!$A$2:$M$159,6,FALSE),"")</f>
        <v/>
      </c>
      <c r="N154" s="15">
        <f>IFERROR(VLOOKUP($B154,'Cost Library'!$A$2:$M$159,7,FALSE),0)</f>
        <v>0</v>
      </c>
      <c r="O154" s="15">
        <f>IFERROR(VLOOKUP($B154,'Cost Library'!$A$2:$M$159,8,FALSE),0)</f>
        <v>0</v>
      </c>
      <c r="P154" s="15">
        <f>IFERROR(VLOOKUP($B154,'Cost Library'!$A$2:$M$159,9,FALSE),0)</f>
        <v>0</v>
      </c>
      <c r="Q154" s="16"/>
      <c r="R154" s="16" t="s">
        <v>116</v>
      </c>
      <c r="S154" s="17">
        <f t="shared" si="34"/>
        <v>0</v>
      </c>
      <c r="T154" s="18">
        <f>'Project Inputs'!$C$15</f>
        <v>0.1</v>
      </c>
      <c r="U154" s="17">
        <f t="shared" si="35"/>
        <v>0</v>
      </c>
      <c r="V154" s="11" t="s">
        <v>247</v>
      </c>
      <c r="W154" s="14" t="str">
        <f>IFERROR(VLOOKUP($B154,'Cost Library'!$A$2:$M$159,10,FALSE),"")</f>
        <v/>
      </c>
      <c r="X154" s="11"/>
      <c r="Y154" s="11"/>
      <c r="Z154" s="11"/>
      <c r="AA154" s="11"/>
      <c r="AB154" s="11"/>
      <c r="AC154" s="11"/>
      <c r="AD154" s="30"/>
      <c r="AE154" s="31"/>
      <c r="AF154" s="3">
        <f t="shared" si="36"/>
        <v>0</v>
      </c>
      <c r="AG154" s="31"/>
      <c r="AH154" s="31"/>
      <c r="AI154" s="3">
        <f t="shared" si="37"/>
        <v>0</v>
      </c>
      <c r="AJ154" s="31"/>
      <c r="AK154" s="31"/>
      <c r="AL154" s="3">
        <f t="shared" si="38"/>
        <v>0</v>
      </c>
      <c r="AM154" s="3">
        <f>IF($A154&lt;&gt;"Yes",0,IF($R154="Detailed Breakdown",$AF154,$S154*IFERROR(VLOOKUP($B154,'Cost Library'!$A$2:$Q$159,14,FALSE),0.4)))</f>
        <v>0</v>
      </c>
      <c r="AN154" s="3">
        <f>IF($A154&lt;&gt;"Yes",0,IF($R154="Detailed Breakdown",$AI154,$S154*IFERROR(VLOOKUP($B154,'Cost Library'!$A$2:$Q$159,15,FALSE),0.5)))</f>
        <v>0</v>
      </c>
      <c r="AO154" s="3">
        <f>IF($A154&lt;&gt;"Yes",0,IF($R154="Detailed Breakdown",$AJ154+$AK154,$S154*IFERROR(VLOOKUP($B154,'Cost Library'!$A$2:$Q$159,16,FALSE),0.1)))</f>
        <v>0</v>
      </c>
      <c r="AP154" s="3">
        <f t="shared" si="39"/>
        <v>0</v>
      </c>
      <c r="AQ154" s="32">
        <f t="shared" si="40"/>
        <v>0</v>
      </c>
      <c r="AR154" s="32">
        <f t="shared" si="41"/>
        <v>0</v>
      </c>
      <c r="AS154" s="32">
        <f t="shared" si="42"/>
        <v>0</v>
      </c>
      <c r="AT154" s="2" t="str">
        <f t="shared" si="43"/>
        <v/>
      </c>
      <c r="AU154" s="31" t="s">
        <v>116</v>
      </c>
      <c r="AV154" s="3">
        <f t="shared" si="44"/>
        <v>0</v>
      </c>
      <c r="AW154" s="3">
        <f t="shared" si="45"/>
        <v>0</v>
      </c>
      <c r="AX154" s="3">
        <f t="shared" si="46"/>
        <v>0</v>
      </c>
      <c r="AY154" s="3">
        <f t="shared" si="47"/>
        <v>0</v>
      </c>
      <c r="AZ154" s="3">
        <f t="shared" si="48"/>
        <v>0</v>
      </c>
      <c r="BA154" s="32">
        <f t="shared" si="49"/>
        <v>0</v>
      </c>
      <c r="BB154" s="2" t="str">
        <f t="shared" si="50"/>
        <v/>
      </c>
    </row>
    <row r="155" spans="1:54" ht="14.4">
      <c r="A155" s="13" t="s">
        <v>161</v>
      </c>
      <c r="B155" s="13"/>
      <c r="C155" s="14" t="str">
        <f>IFERROR(VLOOKUP($B155,'Cost Library'!$A$2:$M$159,2,FALSE),"")</f>
        <v/>
      </c>
      <c r="D155" s="14" t="str">
        <f>IFERROR(VLOOKUP($B155,'Cost Library'!$A$2:$M$159,3,FALSE),"")</f>
        <v/>
      </c>
      <c r="E155" s="13"/>
      <c r="F155" s="13"/>
      <c r="G155" s="13" t="str">
        <f>IFERROR(VLOOKUP($B155,'Cost Library'!$A$2:$M$159,5,FALSE),"")</f>
        <v/>
      </c>
      <c r="H155" s="13"/>
      <c r="I155" s="13"/>
      <c r="J155" s="13"/>
      <c r="K155" s="13"/>
      <c r="L155" s="13">
        <v>1</v>
      </c>
      <c r="M155" s="14" t="str">
        <f>IFERROR(VLOOKUP($B155,'Cost Library'!$A$2:$M$159,6,FALSE),"")</f>
        <v/>
      </c>
      <c r="N155" s="15">
        <f>IFERROR(VLOOKUP($B155,'Cost Library'!$A$2:$M$159,7,FALSE),0)</f>
        <v>0</v>
      </c>
      <c r="O155" s="15">
        <f>IFERROR(VLOOKUP($B155,'Cost Library'!$A$2:$M$159,8,FALSE),0)</f>
        <v>0</v>
      </c>
      <c r="P155" s="15">
        <f>IFERROR(VLOOKUP($B155,'Cost Library'!$A$2:$M$159,9,FALSE),0)</f>
        <v>0</v>
      </c>
      <c r="Q155" s="16"/>
      <c r="R155" s="16" t="s">
        <v>116</v>
      </c>
      <c r="S155" s="17">
        <f t="shared" si="34"/>
        <v>0</v>
      </c>
      <c r="T155" s="18">
        <f>'Project Inputs'!$C$15</f>
        <v>0.1</v>
      </c>
      <c r="U155" s="17">
        <f t="shared" si="35"/>
        <v>0</v>
      </c>
      <c r="V155" s="11" t="s">
        <v>247</v>
      </c>
      <c r="W155" s="14" t="str">
        <f>IFERROR(VLOOKUP($B155,'Cost Library'!$A$2:$M$159,10,FALSE),"")</f>
        <v/>
      </c>
      <c r="X155" s="11"/>
      <c r="Y155" s="11"/>
      <c r="Z155" s="11"/>
      <c r="AA155" s="11"/>
      <c r="AB155" s="11"/>
      <c r="AC155" s="11"/>
      <c r="AD155" s="30"/>
      <c r="AE155" s="31"/>
      <c r="AF155" s="3">
        <f t="shared" si="36"/>
        <v>0</v>
      </c>
      <c r="AG155" s="31"/>
      <c r="AH155" s="31"/>
      <c r="AI155" s="3">
        <f t="shared" si="37"/>
        <v>0</v>
      </c>
      <c r="AJ155" s="31"/>
      <c r="AK155" s="31"/>
      <c r="AL155" s="3">
        <f t="shared" si="38"/>
        <v>0</v>
      </c>
      <c r="AM155" s="3">
        <f>IF($A155&lt;&gt;"Yes",0,IF($R155="Detailed Breakdown",$AF155,$S155*IFERROR(VLOOKUP($B155,'Cost Library'!$A$2:$Q$159,14,FALSE),0.4)))</f>
        <v>0</v>
      </c>
      <c r="AN155" s="3">
        <f>IF($A155&lt;&gt;"Yes",0,IF($R155="Detailed Breakdown",$AI155,$S155*IFERROR(VLOOKUP($B155,'Cost Library'!$A$2:$Q$159,15,FALSE),0.5)))</f>
        <v>0</v>
      </c>
      <c r="AO155" s="3">
        <f>IF($A155&lt;&gt;"Yes",0,IF($R155="Detailed Breakdown",$AJ155+$AK155,$S155*IFERROR(VLOOKUP($B155,'Cost Library'!$A$2:$Q$159,16,FALSE),0.1)))</f>
        <v>0</v>
      </c>
      <c r="AP155" s="3">
        <f t="shared" si="39"/>
        <v>0</v>
      </c>
      <c r="AQ155" s="32">
        <f t="shared" si="40"/>
        <v>0</v>
      </c>
      <c r="AR155" s="32">
        <f t="shared" si="41"/>
        <v>0</v>
      </c>
      <c r="AS155" s="32">
        <f t="shared" si="42"/>
        <v>0</v>
      </c>
      <c r="AT155" s="2" t="str">
        <f t="shared" si="43"/>
        <v/>
      </c>
      <c r="AU155" s="31" t="s">
        <v>116</v>
      </c>
      <c r="AV155" s="3">
        <f t="shared" si="44"/>
        <v>0</v>
      </c>
      <c r="AW155" s="3">
        <f t="shared" si="45"/>
        <v>0</v>
      </c>
      <c r="AX155" s="3">
        <f t="shared" si="46"/>
        <v>0</v>
      </c>
      <c r="AY155" s="3">
        <f t="shared" si="47"/>
        <v>0</v>
      </c>
      <c r="AZ155" s="3">
        <f t="shared" si="48"/>
        <v>0</v>
      </c>
      <c r="BA155" s="32">
        <f t="shared" si="49"/>
        <v>0</v>
      </c>
      <c r="BB155" s="2" t="str">
        <f t="shared" si="50"/>
        <v/>
      </c>
    </row>
    <row r="156" spans="1:54" ht="14.4">
      <c r="A156" s="13" t="s">
        <v>161</v>
      </c>
      <c r="B156" s="13"/>
      <c r="C156" s="14" t="str">
        <f>IFERROR(VLOOKUP($B156,'Cost Library'!$A$2:$M$159,2,FALSE),"")</f>
        <v/>
      </c>
      <c r="D156" s="14" t="str">
        <f>IFERROR(VLOOKUP($B156,'Cost Library'!$A$2:$M$159,3,FALSE),"")</f>
        <v/>
      </c>
      <c r="E156" s="13"/>
      <c r="F156" s="13"/>
      <c r="G156" s="13" t="str">
        <f>IFERROR(VLOOKUP($B156,'Cost Library'!$A$2:$M$159,5,FALSE),"")</f>
        <v/>
      </c>
      <c r="H156" s="13"/>
      <c r="I156" s="13"/>
      <c r="J156" s="13"/>
      <c r="K156" s="13"/>
      <c r="L156" s="13">
        <v>1</v>
      </c>
      <c r="M156" s="14" t="str">
        <f>IFERROR(VLOOKUP($B156,'Cost Library'!$A$2:$M$159,6,FALSE),"")</f>
        <v/>
      </c>
      <c r="N156" s="15">
        <f>IFERROR(VLOOKUP($B156,'Cost Library'!$A$2:$M$159,7,FALSE),0)</f>
        <v>0</v>
      </c>
      <c r="O156" s="15">
        <f>IFERROR(VLOOKUP($B156,'Cost Library'!$A$2:$M$159,8,FALSE),0)</f>
        <v>0</v>
      </c>
      <c r="P156" s="15">
        <f>IFERROR(VLOOKUP($B156,'Cost Library'!$A$2:$M$159,9,FALSE),0)</f>
        <v>0</v>
      </c>
      <c r="Q156" s="16"/>
      <c r="R156" s="16" t="s">
        <v>116</v>
      </c>
      <c r="S156" s="17">
        <f t="shared" si="34"/>
        <v>0</v>
      </c>
      <c r="T156" s="18">
        <f>'Project Inputs'!$C$15</f>
        <v>0.1</v>
      </c>
      <c r="U156" s="17">
        <f t="shared" si="35"/>
        <v>0</v>
      </c>
      <c r="V156" s="11" t="s">
        <v>247</v>
      </c>
      <c r="W156" s="14" t="str">
        <f>IFERROR(VLOOKUP($B156,'Cost Library'!$A$2:$M$159,10,FALSE),"")</f>
        <v/>
      </c>
      <c r="X156" s="11"/>
      <c r="Y156" s="11"/>
      <c r="Z156" s="11"/>
      <c r="AA156" s="11"/>
      <c r="AB156" s="11"/>
      <c r="AC156" s="11"/>
      <c r="AD156" s="30"/>
      <c r="AE156" s="31"/>
      <c r="AF156" s="3">
        <f t="shared" si="36"/>
        <v>0</v>
      </c>
      <c r="AG156" s="31"/>
      <c r="AH156" s="31"/>
      <c r="AI156" s="3">
        <f t="shared" si="37"/>
        <v>0</v>
      </c>
      <c r="AJ156" s="31"/>
      <c r="AK156" s="31"/>
      <c r="AL156" s="3">
        <f t="shared" si="38"/>
        <v>0</v>
      </c>
      <c r="AM156" s="3">
        <f>IF($A156&lt;&gt;"Yes",0,IF($R156="Detailed Breakdown",$AF156,$S156*IFERROR(VLOOKUP($B156,'Cost Library'!$A$2:$Q$159,14,FALSE),0.4)))</f>
        <v>0</v>
      </c>
      <c r="AN156" s="3">
        <f>IF($A156&lt;&gt;"Yes",0,IF($R156="Detailed Breakdown",$AI156,$S156*IFERROR(VLOOKUP($B156,'Cost Library'!$A$2:$Q$159,15,FALSE),0.5)))</f>
        <v>0</v>
      </c>
      <c r="AO156" s="3">
        <f>IF($A156&lt;&gt;"Yes",0,IF($R156="Detailed Breakdown",$AJ156+$AK156,$S156*IFERROR(VLOOKUP($B156,'Cost Library'!$A$2:$Q$159,16,FALSE),0.1)))</f>
        <v>0</v>
      </c>
      <c r="AP156" s="3">
        <f t="shared" si="39"/>
        <v>0</v>
      </c>
      <c r="AQ156" s="32">
        <f t="shared" si="40"/>
        <v>0</v>
      </c>
      <c r="AR156" s="32">
        <f t="shared" si="41"/>
        <v>0</v>
      </c>
      <c r="AS156" s="32">
        <f t="shared" si="42"/>
        <v>0</v>
      </c>
      <c r="AT156" s="2" t="str">
        <f t="shared" si="43"/>
        <v/>
      </c>
      <c r="AU156" s="31" t="s">
        <v>116</v>
      </c>
      <c r="AV156" s="3">
        <f t="shared" si="44"/>
        <v>0</v>
      </c>
      <c r="AW156" s="3">
        <f t="shared" si="45"/>
        <v>0</v>
      </c>
      <c r="AX156" s="3">
        <f t="shared" si="46"/>
        <v>0</v>
      </c>
      <c r="AY156" s="3">
        <f t="shared" si="47"/>
        <v>0</v>
      </c>
      <c r="AZ156" s="3">
        <f t="shared" si="48"/>
        <v>0</v>
      </c>
      <c r="BA156" s="32">
        <f t="shared" si="49"/>
        <v>0</v>
      </c>
      <c r="BB156" s="2" t="str">
        <f t="shared" si="50"/>
        <v/>
      </c>
    </row>
    <row r="157" spans="1:54" ht="14.4">
      <c r="A157" s="13" t="s">
        <v>161</v>
      </c>
      <c r="B157" s="13"/>
      <c r="C157" s="14" t="str">
        <f>IFERROR(VLOOKUP($B157,'Cost Library'!$A$2:$M$159,2,FALSE),"")</f>
        <v/>
      </c>
      <c r="D157" s="14" t="str">
        <f>IFERROR(VLOOKUP($B157,'Cost Library'!$A$2:$M$159,3,FALSE),"")</f>
        <v/>
      </c>
      <c r="E157" s="13"/>
      <c r="F157" s="13"/>
      <c r="G157" s="13" t="str">
        <f>IFERROR(VLOOKUP($B157,'Cost Library'!$A$2:$M$159,5,FALSE),"")</f>
        <v/>
      </c>
      <c r="H157" s="13"/>
      <c r="I157" s="13"/>
      <c r="J157" s="13"/>
      <c r="K157" s="13"/>
      <c r="L157" s="13">
        <v>1</v>
      </c>
      <c r="M157" s="14" t="str">
        <f>IFERROR(VLOOKUP($B157,'Cost Library'!$A$2:$M$159,6,FALSE),"")</f>
        <v/>
      </c>
      <c r="N157" s="15">
        <f>IFERROR(VLOOKUP($B157,'Cost Library'!$A$2:$M$159,7,FALSE),0)</f>
        <v>0</v>
      </c>
      <c r="O157" s="15">
        <f>IFERROR(VLOOKUP($B157,'Cost Library'!$A$2:$M$159,8,FALSE),0)</f>
        <v>0</v>
      </c>
      <c r="P157" s="15">
        <f>IFERROR(VLOOKUP($B157,'Cost Library'!$A$2:$M$159,9,FALSE),0)</f>
        <v>0</v>
      </c>
      <c r="Q157" s="16"/>
      <c r="R157" s="16" t="s">
        <v>116</v>
      </c>
      <c r="S157" s="17">
        <f t="shared" si="34"/>
        <v>0</v>
      </c>
      <c r="T157" s="18">
        <f>'Project Inputs'!$C$15</f>
        <v>0.1</v>
      </c>
      <c r="U157" s="17">
        <f t="shared" si="35"/>
        <v>0</v>
      </c>
      <c r="V157" s="11" t="s">
        <v>247</v>
      </c>
      <c r="W157" s="14" t="str">
        <f>IFERROR(VLOOKUP($B157,'Cost Library'!$A$2:$M$159,10,FALSE),"")</f>
        <v/>
      </c>
      <c r="X157" s="11"/>
      <c r="Y157" s="11"/>
      <c r="Z157" s="11"/>
      <c r="AA157" s="11"/>
      <c r="AB157" s="11"/>
      <c r="AC157" s="11"/>
      <c r="AD157" s="30"/>
      <c r="AE157" s="31"/>
      <c r="AF157" s="3">
        <f t="shared" si="36"/>
        <v>0</v>
      </c>
      <c r="AG157" s="31"/>
      <c r="AH157" s="31"/>
      <c r="AI157" s="3">
        <f t="shared" si="37"/>
        <v>0</v>
      </c>
      <c r="AJ157" s="31"/>
      <c r="AK157" s="31"/>
      <c r="AL157" s="3">
        <f t="shared" si="38"/>
        <v>0</v>
      </c>
      <c r="AM157" s="3">
        <f>IF($A157&lt;&gt;"Yes",0,IF($R157="Detailed Breakdown",$AF157,$S157*IFERROR(VLOOKUP($B157,'Cost Library'!$A$2:$Q$159,14,FALSE),0.4)))</f>
        <v>0</v>
      </c>
      <c r="AN157" s="3">
        <f>IF($A157&lt;&gt;"Yes",0,IF($R157="Detailed Breakdown",$AI157,$S157*IFERROR(VLOOKUP($B157,'Cost Library'!$A$2:$Q$159,15,FALSE),0.5)))</f>
        <v>0</v>
      </c>
      <c r="AO157" s="3">
        <f>IF($A157&lt;&gt;"Yes",0,IF($R157="Detailed Breakdown",$AJ157+$AK157,$S157*IFERROR(VLOOKUP($B157,'Cost Library'!$A$2:$Q$159,16,FALSE),0.1)))</f>
        <v>0</v>
      </c>
      <c r="AP157" s="3">
        <f t="shared" si="39"/>
        <v>0</v>
      </c>
      <c r="AQ157" s="32">
        <f t="shared" si="40"/>
        <v>0</v>
      </c>
      <c r="AR157" s="32">
        <f t="shared" si="41"/>
        <v>0</v>
      </c>
      <c r="AS157" s="32">
        <f t="shared" si="42"/>
        <v>0</v>
      </c>
      <c r="AT157" s="2" t="str">
        <f t="shared" si="43"/>
        <v/>
      </c>
      <c r="AU157" s="31" t="s">
        <v>116</v>
      </c>
      <c r="AV157" s="3">
        <f t="shared" si="44"/>
        <v>0</v>
      </c>
      <c r="AW157" s="3">
        <f t="shared" si="45"/>
        <v>0</v>
      </c>
      <c r="AX157" s="3">
        <f t="shared" si="46"/>
        <v>0</v>
      </c>
      <c r="AY157" s="3">
        <f t="shared" si="47"/>
        <v>0</v>
      </c>
      <c r="AZ157" s="3">
        <f t="shared" si="48"/>
        <v>0</v>
      </c>
      <c r="BA157" s="32">
        <f t="shared" si="49"/>
        <v>0</v>
      </c>
      <c r="BB157" s="2" t="str">
        <f t="shared" si="50"/>
        <v/>
      </c>
    </row>
    <row r="158" spans="1:54" ht="14.4">
      <c r="A158" s="13" t="s">
        <v>161</v>
      </c>
      <c r="B158" s="13"/>
      <c r="C158" s="14" t="str">
        <f>IFERROR(VLOOKUP($B158,'Cost Library'!$A$2:$M$159,2,FALSE),"")</f>
        <v/>
      </c>
      <c r="D158" s="14" t="str">
        <f>IFERROR(VLOOKUP($B158,'Cost Library'!$A$2:$M$159,3,FALSE),"")</f>
        <v/>
      </c>
      <c r="E158" s="13"/>
      <c r="F158" s="13"/>
      <c r="G158" s="13" t="str">
        <f>IFERROR(VLOOKUP($B158,'Cost Library'!$A$2:$M$159,5,FALSE),"")</f>
        <v/>
      </c>
      <c r="H158" s="13"/>
      <c r="I158" s="13"/>
      <c r="J158" s="13"/>
      <c r="K158" s="13"/>
      <c r="L158" s="13">
        <v>1</v>
      </c>
      <c r="M158" s="14" t="str">
        <f>IFERROR(VLOOKUP($B158,'Cost Library'!$A$2:$M$159,6,FALSE),"")</f>
        <v/>
      </c>
      <c r="N158" s="15">
        <f>IFERROR(VLOOKUP($B158,'Cost Library'!$A$2:$M$159,7,FALSE),0)</f>
        <v>0</v>
      </c>
      <c r="O158" s="15">
        <f>IFERROR(VLOOKUP($B158,'Cost Library'!$A$2:$M$159,8,FALSE),0)</f>
        <v>0</v>
      </c>
      <c r="P158" s="15">
        <f>IFERROR(VLOOKUP($B158,'Cost Library'!$A$2:$M$159,9,FALSE),0)</f>
        <v>0</v>
      </c>
      <c r="Q158" s="16"/>
      <c r="R158" s="16" t="s">
        <v>116</v>
      </c>
      <c r="S158" s="17">
        <f t="shared" si="34"/>
        <v>0</v>
      </c>
      <c r="T158" s="18">
        <f>'Project Inputs'!$C$15</f>
        <v>0.1</v>
      </c>
      <c r="U158" s="17">
        <f t="shared" si="35"/>
        <v>0</v>
      </c>
      <c r="V158" s="11" t="s">
        <v>247</v>
      </c>
      <c r="W158" s="14" t="str">
        <f>IFERROR(VLOOKUP($B158,'Cost Library'!$A$2:$M$159,10,FALSE),"")</f>
        <v/>
      </c>
      <c r="X158" s="11"/>
      <c r="Y158" s="11"/>
      <c r="Z158" s="11"/>
      <c r="AA158" s="11"/>
      <c r="AB158" s="11"/>
      <c r="AC158" s="11"/>
      <c r="AD158" s="30"/>
      <c r="AE158" s="31"/>
      <c r="AF158" s="3">
        <f t="shared" si="36"/>
        <v>0</v>
      </c>
      <c r="AG158" s="31"/>
      <c r="AH158" s="31"/>
      <c r="AI158" s="3">
        <f t="shared" si="37"/>
        <v>0</v>
      </c>
      <c r="AJ158" s="31"/>
      <c r="AK158" s="31"/>
      <c r="AL158" s="3">
        <f t="shared" si="38"/>
        <v>0</v>
      </c>
      <c r="AM158" s="3">
        <f>IF($A158&lt;&gt;"Yes",0,IF($R158="Detailed Breakdown",$AF158,$S158*IFERROR(VLOOKUP($B158,'Cost Library'!$A$2:$Q$159,14,FALSE),0.4)))</f>
        <v>0</v>
      </c>
      <c r="AN158" s="3">
        <f>IF($A158&lt;&gt;"Yes",0,IF($R158="Detailed Breakdown",$AI158,$S158*IFERROR(VLOOKUP($B158,'Cost Library'!$A$2:$Q$159,15,FALSE),0.5)))</f>
        <v>0</v>
      </c>
      <c r="AO158" s="3">
        <f>IF($A158&lt;&gt;"Yes",0,IF($R158="Detailed Breakdown",$AJ158+$AK158,$S158*IFERROR(VLOOKUP($B158,'Cost Library'!$A$2:$Q$159,16,FALSE),0.1)))</f>
        <v>0</v>
      </c>
      <c r="AP158" s="3">
        <f t="shared" si="39"/>
        <v>0</v>
      </c>
      <c r="AQ158" s="32">
        <f t="shared" si="40"/>
        <v>0</v>
      </c>
      <c r="AR158" s="32">
        <f t="shared" si="41"/>
        <v>0</v>
      </c>
      <c r="AS158" s="32">
        <f t="shared" si="42"/>
        <v>0</v>
      </c>
      <c r="AT158" s="2" t="str">
        <f t="shared" si="43"/>
        <v/>
      </c>
      <c r="AU158" s="31" t="s">
        <v>116</v>
      </c>
      <c r="AV158" s="3">
        <f t="shared" si="44"/>
        <v>0</v>
      </c>
      <c r="AW158" s="3">
        <f t="shared" si="45"/>
        <v>0</v>
      </c>
      <c r="AX158" s="3">
        <f t="shared" si="46"/>
        <v>0</v>
      </c>
      <c r="AY158" s="3">
        <f t="shared" si="47"/>
        <v>0</v>
      </c>
      <c r="AZ158" s="3">
        <f t="shared" si="48"/>
        <v>0</v>
      </c>
      <c r="BA158" s="32">
        <f t="shared" si="49"/>
        <v>0</v>
      </c>
      <c r="BB158" s="2" t="str">
        <f t="shared" si="50"/>
        <v/>
      </c>
    </row>
    <row r="159" spans="1:54" ht="14.4">
      <c r="A159" s="13" t="s">
        <v>161</v>
      </c>
      <c r="B159" s="13"/>
      <c r="C159" s="14" t="str">
        <f>IFERROR(VLOOKUP($B159,'Cost Library'!$A$2:$M$159,2,FALSE),"")</f>
        <v/>
      </c>
      <c r="D159" s="14" t="str">
        <f>IFERROR(VLOOKUP($B159,'Cost Library'!$A$2:$M$159,3,FALSE),"")</f>
        <v/>
      </c>
      <c r="E159" s="13"/>
      <c r="F159" s="13"/>
      <c r="G159" s="13" t="str">
        <f>IFERROR(VLOOKUP($B159,'Cost Library'!$A$2:$M$159,5,FALSE),"")</f>
        <v/>
      </c>
      <c r="H159" s="13"/>
      <c r="I159" s="13"/>
      <c r="J159" s="13"/>
      <c r="K159" s="13"/>
      <c r="L159" s="13">
        <v>1</v>
      </c>
      <c r="M159" s="14" t="str">
        <f>IFERROR(VLOOKUP($B159,'Cost Library'!$A$2:$M$159,6,FALSE),"")</f>
        <v/>
      </c>
      <c r="N159" s="15">
        <f>IFERROR(VLOOKUP($B159,'Cost Library'!$A$2:$M$159,7,FALSE),0)</f>
        <v>0</v>
      </c>
      <c r="O159" s="15">
        <f>IFERROR(VLOOKUP($B159,'Cost Library'!$A$2:$M$159,8,FALSE),0)</f>
        <v>0</v>
      </c>
      <c r="P159" s="15">
        <f>IFERROR(VLOOKUP($B159,'Cost Library'!$A$2:$M$159,9,FALSE),0)</f>
        <v>0</v>
      </c>
      <c r="Q159" s="16"/>
      <c r="R159" s="16" t="s">
        <v>116</v>
      </c>
      <c r="S159" s="17">
        <f t="shared" si="34"/>
        <v>0</v>
      </c>
      <c r="T159" s="18">
        <f>'Project Inputs'!$C$15</f>
        <v>0.1</v>
      </c>
      <c r="U159" s="17">
        <f t="shared" si="35"/>
        <v>0</v>
      </c>
      <c r="V159" s="11" t="s">
        <v>247</v>
      </c>
      <c r="W159" s="14" t="str">
        <f>IFERROR(VLOOKUP($B159,'Cost Library'!$A$2:$M$159,10,FALSE),"")</f>
        <v/>
      </c>
      <c r="X159" s="11"/>
      <c r="Y159" s="11"/>
      <c r="Z159" s="11"/>
      <c r="AA159" s="11"/>
      <c r="AB159" s="11"/>
      <c r="AC159" s="11"/>
      <c r="AD159" s="30"/>
      <c r="AE159" s="31"/>
      <c r="AF159" s="3">
        <f t="shared" si="36"/>
        <v>0</v>
      </c>
      <c r="AG159" s="31"/>
      <c r="AH159" s="31"/>
      <c r="AI159" s="3">
        <f t="shared" si="37"/>
        <v>0</v>
      </c>
      <c r="AJ159" s="31"/>
      <c r="AK159" s="31"/>
      <c r="AL159" s="3">
        <f t="shared" si="38"/>
        <v>0</v>
      </c>
      <c r="AM159" s="3">
        <f>IF($A159&lt;&gt;"Yes",0,IF($R159="Detailed Breakdown",$AF159,$S159*IFERROR(VLOOKUP($B159,'Cost Library'!$A$2:$Q$159,14,FALSE),0.4)))</f>
        <v>0</v>
      </c>
      <c r="AN159" s="3">
        <f>IF($A159&lt;&gt;"Yes",0,IF($R159="Detailed Breakdown",$AI159,$S159*IFERROR(VLOOKUP($B159,'Cost Library'!$A$2:$Q$159,15,FALSE),0.5)))</f>
        <v>0</v>
      </c>
      <c r="AO159" s="3">
        <f>IF($A159&lt;&gt;"Yes",0,IF($R159="Detailed Breakdown",$AJ159+$AK159,$S159*IFERROR(VLOOKUP($B159,'Cost Library'!$A$2:$Q$159,16,FALSE),0.1)))</f>
        <v>0</v>
      </c>
      <c r="AP159" s="3">
        <f t="shared" si="39"/>
        <v>0</v>
      </c>
      <c r="AQ159" s="32">
        <f t="shared" si="40"/>
        <v>0</v>
      </c>
      <c r="AR159" s="32">
        <f t="shared" si="41"/>
        <v>0</v>
      </c>
      <c r="AS159" s="32">
        <f t="shared" si="42"/>
        <v>0</v>
      </c>
      <c r="AT159" s="2" t="str">
        <f t="shared" si="43"/>
        <v/>
      </c>
      <c r="AU159" s="31" t="s">
        <v>116</v>
      </c>
      <c r="AV159" s="3">
        <f t="shared" si="44"/>
        <v>0</v>
      </c>
      <c r="AW159" s="3">
        <f t="shared" si="45"/>
        <v>0</v>
      </c>
      <c r="AX159" s="3">
        <f t="shared" si="46"/>
        <v>0</v>
      </c>
      <c r="AY159" s="3">
        <f t="shared" si="47"/>
        <v>0</v>
      </c>
      <c r="AZ159" s="3">
        <f t="shared" si="48"/>
        <v>0</v>
      </c>
      <c r="BA159" s="32">
        <f t="shared" si="49"/>
        <v>0</v>
      </c>
      <c r="BB159" s="2" t="str">
        <f t="shared" si="50"/>
        <v/>
      </c>
    </row>
    <row r="160" spans="1:54" ht="14.4">
      <c r="A160" s="13" t="s">
        <v>161</v>
      </c>
      <c r="B160" s="13"/>
      <c r="C160" s="14" t="str">
        <f>IFERROR(VLOOKUP($B160,'Cost Library'!$A$2:$M$159,2,FALSE),"")</f>
        <v/>
      </c>
      <c r="D160" s="14" t="str">
        <f>IFERROR(VLOOKUP($B160,'Cost Library'!$A$2:$M$159,3,FALSE),"")</f>
        <v/>
      </c>
      <c r="E160" s="13"/>
      <c r="F160" s="13"/>
      <c r="G160" s="13" t="str">
        <f>IFERROR(VLOOKUP($B160,'Cost Library'!$A$2:$M$159,5,FALSE),"")</f>
        <v/>
      </c>
      <c r="H160" s="13"/>
      <c r="I160" s="13"/>
      <c r="J160" s="13"/>
      <c r="K160" s="13"/>
      <c r="L160" s="13">
        <v>1</v>
      </c>
      <c r="M160" s="14" t="str">
        <f>IFERROR(VLOOKUP($B160,'Cost Library'!$A$2:$M$159,6,FALSE),"")</f>
        <v/>
      </c>
      <c r="N160" s="15">
        <f>IFERROR(VLOOKUP($B160,'Cost Library'!$A$2:$M$159,7,FALSE),0)</f>
        <v>0</v>
      </c>
      <c r="O160" s="15">
        <f>IFERROR(VLOOKUP($B160,'Cost Library'!$A$2:$M$159,8,FALSE),0)</f>
        <v>0</v>
      </c>
      <c r="P160" s="15">
        <f>IFERROR(VLOOKUP($B160,'Cost Library'!$A$2:$M$159,9,FALSE),0)</f>
        <v>0</v>
      </c>
      <c r="Q160" s="16"/>
      <c r="R160" s="16" t="s">
        <v>116</v>
      </c>
      <c r="S160" s="17">
        <f t="shared" si="34"/>
        <v>0</v>
      </c>
      <c r="T160" s="18">
        <f>'Project Inputs'!$C$15</f>
        <v>0.1</v>
      </c>
      <c r="U160" s="17">
        <f t="shared" si="35"/>
        <v>0</v>
      </c>
      <c r="V160" s="11" t="s">
        <v>247</v>
      </c>
      <c r="W160" s="14" t="str">
        <f>IFERROR(VLOOKUP($B160,'Cost Library'!$A$2:$M$159,10,FALSE),"")</f>
        <v/>
      </c>
      <c r="X160" s="11"/>
      <c r="Y160" s="11"/>
      <c r="Z160" s="11"/>
      <c r="AA160" s="11"/>
      <c r="AB160" s="11"/>
      <c r="AC160" s="11"/>
      <c r="AD160" s="30"/>
      <c r="AE160" s="31"/>
      <c r="AF160" s="3">
        <f t="shared" si="36"/>
        <v>0</v>
      </c>
      <c r="AG160" s="31"/>
      <c r="AH160" s="31"/>
      <c r="AI160" s="3">
        <f t="shared" si="37"/>
        <v>0</v>
      </c>
      <c r="AJ160" s="31"/>
      <c r="AK160" s="31"/>
      <c r="AL160" s="3">
        <f t="shared" si="38"/>
        <v>0</v>
      </c>
      <c r="AM160" s="3">
        <f>IF($A160&lt;&gt;"Yes",0,IF($R160="Detailed Breakdown",$AF160,$S160*IFERROR(VLOOKUP($B160,'Cost Library'!$A$2:$Q$159,14,FALSE),0.4)))</f>
        <v>0</v>
      </c>
      <c r="AN160" s="3">
        <f>IF($A160&lt;&gt;"Yes",0,IF($R160="Detailed Breakdown",$AI160,$S160*IFERROR(VLOOKUP($B160,'Cost Library'!$A$2:$Q$159,15,FALSE),0.5)))</f>
        <v>0</v>
      </c>
      <c r="AO160" s="3">
        <f>IF($A160&lt;&gt;"Yes",0,IF($R160="Detailed Breakdown",$AJ160+$AK160,$S160*IFERROR(VLOOKUP($B160,'Cost Library'!$A$2:$Q$159,16,FALSE),0.1)))</f>
        <v>0</v>
      </c>
      <c r="AP160" s="3">
        <f t="shared" si="39"/>
        <v>0</v>
      </c>
      <c r="AQ160" s="32">
        <f t="shared" si="40"/>
        <v>0</v>
      </c>
      <c r="AR160" s="32">
        <f t="shared" si="41"/>
        <v>0</v>
      </c>
      <c r="AS160" s="32">
        <f t="shared" si="42"/>
        <v>0</v>
      </c>
      <c r="AT160" s="2" t="str">
        <f t="shared" si="43"/>
        <v/>
      </c>
      <c r="AU160" s="31" t="s">
        <v>116</v>
      </c>
      <c r="AV160" s="3">
        <f t="shared" si="44"/>
        <v>0</v>
      </c>
      <c r="AW160" s="3">
        <f t="shared" si="45"/>
        <v>0</v>
      </c>
      <c r="AX160" s="3">
        <f t="shared" si="46"/>
        <v>0</v>
      </c>
      <c r="AY160" s="3">
        <f t="shared" si="47"/>
        <v>0</v>
      </c>
      <c r="AZ160" s="3">
        <f t="shared" si="48"/>
        <v>0</v>
      </c>
      <c r="BA160" s="32">
        <f t="shared" si="49"/>
        <v>0</v>
      </c>
      <c r="BB160" s="2" t="str">
        <f t="shared" si="50"/>
        <v/>
      </c>
    </row>
    <row r="161" spans="1:54" ht="14.4">
      <c r="A161" s="13" t="s">
        <v>161</v>
      </c>
      <c r="B161" s="13"/>
      <c r="C161" s="14" t="str">
        <f>IFERROR(VLOOKUP($B161,'Cost Library'!$A$2:$M$159,2,FALSE),"")</f>
        <v/>
      </c>
      <c r="D161" s="14" t="str">
        <f>IFERROR(VLOOKUP($B161,'Cost Library'!$A$2:$M$159,3,FALSE),"")</f>
        <v/>
      </c>
      <c r="E161" s="13"/>
      <c r="F161" s="13"/>
      <c r="G161" s="13" t="str">
        <f>IFERROR(VLOOKUP($B161,'Cost Library'!$A$2:$M$159,5,FALSE),"")</f>
        <v/>
      </c>
      <c r="H161" s="13"/>
      <c r="I161" s="13"/>
      <c r="J161" s="13"/>
      <c r="K161" s="13"/>
      <c r="L161" s="13">
        <v>1</v>
      </c>
      <c r="M161" s="14" t="str">
        <f>IFERROR(VLOOKUP($B161,'Cost Library'!$A$2:$M$159,6,FALSE),"")</f>
        <v/>
      </c>
      <c r="N161" s="15">
        <f>IFERROR(VLOOKUP($B161,'Cost Library'!$A$2:$M$159,7,FALSE),0)</f>
        <v>0</v>
      </c>
      <c r="O161" s="15">
        <f>IFERROR(VLOOKUP($B161,'Cost Library'!$A$2:$M$159,8,FALSE),0)</f>
        <v>0</v>
      </c>
      <c r="P161" s="15">
        <f>IFERROR(VLOOKUP($B161,'Cost Library'!$A$2:$M$159,9,FALSE),0)</f>
        <v>0</v>
      </c>
      <c r="Q161" s="16"/>
      <c r="R161" s="16" t="s">
        <v>116</v>
      </c>
      <c r="S161" s="17">
        <f t="shared" si="34"/>
        <v>0</v>
      </c>
      <c r="T161" s="18">
        <f>'Project Inputs'!$C$15</f>
        <v>0.1</v>
      </c>
      <c r="U161" s="17">
        <f t="shared" si="35"/>
        <v>0</v>
      </c>
      <c r="V161" s="11" t="s">
        <v>247</v>
      </c>
      <c r="W161" s="14" t="str">
        <f>IFERROR(VLOOKUP($B161,'Cost Library'!$A$2:$M$159,10,FALSE),"")</f>
        <v/>
      </c>
      <c r="X161" s="11"/>
      <c r="Y161" s="11"/>
      <c r="Z161" s="11"/>
      <c r="AA161" s="11"/>
      <c r="AB161" s="11"/>
      <c r="AC161" s="11"/>
      <c r="AD161" s="30"/>
      <c r="AE161" s="31"/>
      <c r="AF161" s="3">
        <f t="shared" si="36"/>
        <v>0</v>
      </c>
      <c r="AG161" s="31"/>
      <c r="AH161" s="31"/>
      <c r="AI161" s="3">
        <f t="shared" si="37"/>
        <v>0</v>
      </c>
      <c r="AJ161" s="31"/>
      <c r="AK161" s="31"/>
      <c r="AL161" s="3">
        <f t="shared" si="38"/>
        <v>0</v>
      </c>
      <c r="AM161" s="3">
        <f>IF($A161&lt;&gt;"Yes",0,IF($R161="Detailed Breakdown",$AF161,$S161*IFERROR(VLOOKUP($B161,'Cost Library'!$A$2:$Q$159,14,FALSE),0.4)))</f>
        <v>0</v>
      </c>
      <c r="AN161" s="3">
        <f>IF($A161&lt;&gt;"Yes",0,IF($R161="Detailed Breakdown",$AI161,$S161*IFERROR(VLOOKUP($B161,'Cost Library'!$A$2:$Q$159,15,FALSE),0.5)))</f>
        <v>0</v>
      </c>
      <c r="AO161" s="3">
        <f>IF($A161&lt;&gt;"Yes",0,IF($R161="Detailed Breakdown",$AJ161+$AK161,$S161*IFERROR(VLOOKUP($B161,'Cost Library'!$A$2:$Q$159,16,FALSE),0.1)))</f>
        <v>0</v>
      </c>
      <c r="AP161" s="3">
        <f t="shared" si="39"/>
        <v>0</v>
      </c>
      <c r="AQ161" s="32">
        <f t="shared" si="40"/>
        <v>0</v>
      </c>
      <c r="AR161" s="32">
        <f t="shared" si="41"/>
        <v>0</v>
      </c>
      <c r="AS161" s="32">
        <f t="shared" si="42"/>
        <v>0</v>
      </c>
      <c r="AT161" s="2" t="str">
        <f t="shared" si="43"/>
        <v/>
      </c>
      <c r="AU161" s="31" t="s">
        <v>116</v>
      </c>
      <c r="AV161" s="3">
        <f t="shared" si="44"/>
        <v>0</v>
      </c>
      <c r="AW161" s="3">
        <f t="shared" si="45"/>
        <v>0</v>
      </c>
      <c r="AX161" s="3">
        <f t="shared" si="46"/>
        <v>0</v>
      </c>
      <c r="AY161" s="3">
        <f t="shared" si="47"/>
        <v>0</v>
      </c>
      <c r="AZ161" s="3">
        <f t="shared" si="48"/>
        <v>0</v>
      </c>
      <c r="BA161" s="32">
        <f t="shared" si="49"/>
        <v>0</v>
      </c>
      <c r="BB161" s="2" t="str">
        <f t="shared" si="50"/>
        <v/>
      </c>
    </row>
    <row r="162" spans="1:54" ht="14.4">
      <c r="A162" s="13" t="s">
        <v>161</v>
      </c>
      <c r="B162" s="13"/>
      <c r="C162" s="14" t="str">
        <f>IFERROR(VLOOKUP($B162,'Cost Library'!$A$2:$M$159,2,FALSE),"")</f>
        <v/>
      </c>
      <c r="D162" s="14" t="str">
        <f>IFERROR(VLOOKUP($B162,'Cost Library'!$A$2:$M$159,3,FALSE),"")</f>
        <v/>
      </c>
      <c r="E162" s="13"/>
      <c r="F162" s="13"/>
      <c r="G162" s="13" t="str">
        <f>IFERROR(VLOOKUP($B162,'Cost Library'!$A$2:$M$159,5,FALSE),"")</f>
        <v/>
      </c>
      <c r="H162" s="13"/>
      <c r="I162" s="13"/>
      <c r="J162" s="13"/>
      <c r="K162" s="13"/>
      <c r="L162" s="13">
        <v>1</v>
      </c>
      <c r="M162" s="14" t="str">
        <f>IFERROR(VLOOKUP($B162,'Cost Library'!$A$2:$M$159,6,FALSE),"")</f>
        <v/>
      </c>
      <c r="N162" s="15">
        <f>IFERROR(VLOOKUP($B162,'Cost Library'!$A$2:$M$159,7,FALSE),0)</f>
        <v>0</v>
      </c>
      <c r="O162" s="15">
        <f>IFERROR(VLOOKUP($B162,'Cost Library'!$A$2:$M$159,8,FALSE),0)</f>
        <v>0</v>
      </c>
      <c r="P162" s="15">
        <f>IFERROR(VLOOKUP($B162,'Cost Library'!$A$2:$M$159,9,FALSE),0)</f>
        <v>0</v>
      </c>
      <c r="Q162" s="16"/>
      <c r="R162" s="16" t="s">
        <v>116</v>
      </c>
      <c r="S162" s="17">
        <f t="shared" si="34"/>
        <v>0</v>
      </c>
      <c r="T162" s="18">
        <f>'Project Inputs'!$C$15</f>
        <v>0.1</v>
      </c>
      <c r="U162" s="17">
        <f t="shared" si="35"/>
        <v>0</v>
      </c>
      <c r="V162" s="11" t="s">
        <v>247</v>
      </c>
      <c r="W162" s="14" t="str">
        <f>IFERROR(VLOOKUP($B162,'Cost Library'!$A$2:$M$159,10,FALSE),"")</f>
        <v/>
      </c>
      <c r="X162" s="11"/>
      <c r="Y162" s="11"/>
      <c r="Z162" s="11"/>
      <c r="AA162" s="11"/>
      <c r="AB162" s="11"/>
      <c r="AC162" s="11"/>
      <c r="AD162" s="30"/>
      <c r="AE162" s="31"/>
      <c r="AF162" s="3">
        <f t="shared" si="36"/>
        <v>0</v>
      </c>
      <c r="AG162" s="31"/>
      <c r="AH162" s="31"/>
      <c r="AI162" s="3">
        <f t="shared" si="37"/>
        <v>0</v>
      </c>
      <c r="AJ162" s="31"/>
      <c r="AK162" s="31"/>
      <c r="AL162" s="3">
        <f t="shared" si="38"/>
        <v>0</v>
      </c>
      <c r="AM162" s="3">
        <f>IF($A162&lt;&gt;"Yes",0,IF($R162="Detailed Breakdown",$AF162,$S162*IFERROR(VLOOKUP($B162,'Cost Library'!$A$2:$Q$159,14,FALSE),0.4)))</f>
        <v>0</v>
      </c>
      <c r="AN162" s="3">
        <f>IF($A162&lt;&gt;"Yes",0,IF($R162="Detailed Breakdown",$AI162,$S162*IFERROR(VLOOKUP($B162,'Cost Library'!$A$2:$Q$159,15,FALSE),0.5)))</f>
        <v>0</v>
      </c>
      <c r="AO162" s="3">
        <f>IF($A162&lt;&gt;"Yes",0,IF($R162="Detailed Breakdown",$AJ162+$AK162,$S162*IFERROR(VLOOKUP($B162,'Cost Library'!$A$2:$Q$159,16,FALSE),0.1)))</f>
        <v>0</v>
      </c>
      <c r="AP162" s="3">
        <f t="shared" si="39"/>
        <v>0</v>
      </c>
      <c r="AQ162" s="32">
        <f t="shared" si="40"/>
        <v>0</v>
      </c>
      <c r="AR162" s="32">
        <f t="shared" si="41"/>
        <v>0</v>
      </c>
      <c r="AS162" s="32">
        <f t="shared" si="42"/>
        <v>0</v>
      </c>
      <c r="AT162" s="2" t="str">
        <f t="shared" si="43"/>
        <v/>
      </c>
      <c r="AU162" s="31" t="s">
        <v>116</v>
      </c>
      <c r="AV162" s="3">
        <f t="shared" si="44"/>
        <v>0</v>
      </c>
      <c r="AW162" s="3">
        <f t="shared" si="45"/>
        <v>0</v>
      </c>
      <c r="AX162" s="3">
        <f t="shared" si="46"/>
        <v>0</v>
      </c>
      <c r="AY162" s="3">
        <f t="shared" si="47"/>
        <v>0</v>
      </c>
      <c r="AZ162" s="3">
        <f t="shared" si="48"/>
        <v>0</v>
      </c>
      <c r="BA162" s="32">
        <f t="shared" si="49"/>
        <v>0</v>
      </c>
      <c r="BB162" s="2" t="str">
        <f t="shared" si="50"/>
        <v/>
      </c>
    </row>
    <row r="163" spans="1:54" ht="14.4">
      <c r="A163" s="13" t="s">
        <v>161</v>
      </c>
      <c r="B163" s="13"/>
      <c r="C163" s="14" t="str">
        <f>IFERROR(VLOOKUP($B163,'Cost Library'!$A$2:$M$159,2,FALSE),"")</f>
        <v/>
      </c>
      <c r="D163" s="14" t="str">
        <f>IFERROR(VLOOKUP($B163,'Cost Library'!$A$2:$M$159,3,FALSE),"")</f>
        <v/>
      </c>
      <c r="E163" s="13"/>
      <c r="F163" s="13"/>
      <c r="G163" s="13" t="str">
        <f>IFERROR(VLOOKUP($B163,'Cost Library'!$A$2:$M$159,5,FALSE),"")</f>
        <v/>
      </c>
      <c r="H163" s="13"/>
      <c r="I163" s="13"/>
      <c r="J163" s="13"/>
      <c r="K163" s="13"/>
      <c r="L163" s="13">
        <v>1</v>
      </c>
      <c r="M163" s="14" t="str">
        <f>IFERROR(VLOOKUP($B163,'Cost Library'!$A$2:$M$159,6,FALSE),"")</f>
        <v/>
      </c>
      <c r="N163" s="15">
        <f>IFERROR(VLOOKUP($B163,'Cost Library'!$A$2:$M$159,7,FALSE),0)</f>
        <v>0</v>
      </c>
      <c r="O163" s="15">
        <f>IFERROR(VLOOKUP($B163,'Cost Library'!$A$2:$M$159,8,FALSE),0)</f>
        <v>0</v>
      </c>
      <c r="P163" s="15">
        <f>IFERROR(VLOOKUP($B163,'Cost Library'!$A$2:$M$159,9,FALSE),0)</f>
        <v>0</v>
      </c>
      <c r="Q163" s="16"/>
      <c r="R163" s="16" t="s">
        <v>116</v>
      </c>
      <c r="S163" s="17">
        <f t="shared" si="34"/>
        <v>0</v>
      </c>
      <c r="T163" s="18">
        <f>'Project Inputs'!$C$15</f>
        <v>0.1</v>
      </c>
      <c r="U163" s="17">
        <f t="shared" si="35"/>
        <v>0</v>
      </c>
      <c r="V163" s="11" t="s">
        <v>247</v>
      </c>
      <c r="W163" s="14" t="str">
        <f>IFERROR(VLOOKUP($B163,'Cost Library'!$A$2:$M$159,10,FALSE),"")</f>
        <v/>
      </c>
      <c r="X163" s="11"/>
      <c r="Y163" s="11"/>
      <c r="Z163" s="11"/>
      <c r="AA163" s="11"/>
      <c r="AB163" s="11"/>
      <c r="AC163" s="11"/>
      <c r="AD163" s="30"/>
      <c r="AE163" s="31"/>
      <c r="AF163" s="3">
        <f t="shared" si="36"/>
        <v>0</v>
      </c>
      <c r="AG163" s="31"/>
      <c r="AH163" s="31"/>
      <c r="AI163" s="3">
        <f t="shared" si="37"/>
        <v>0</v>
      </c>
      <c r="AJ163" s="31"/>
      <c r="AK163" s="31"/>
      <c r="AL163" s="3">
        <f t="shared" si="38"/>
        <v>0</v>
      </c>
      <c r="AM163" s="3">
        <f>IF($A163&lt;&gt;"Yes",0,IF($R163="Detailed Breakdown",$AF163,$S163*IFERROR(VLOOKUP($B163,'Cost Library'!$A$2:$Q$159,14,FALSE),0.4)))</f>
        <v>0</v>
      </c>
      <c r="AN163" s="3">
        <f>IF($A163&lt;&gt;"Yes",0,IF($R163="Detailed Breakdown",$AI163,$S163*IFERROR(VLOOKUP($B163,'Cost Library'!$A$2:$Q$159,15,FALSE),0.5)))</f>
        <v>0</v>
      </c>
      <c r="AO163" s="3">
        <f>IF($A163&lt;&gt;"Yes",0,IF($R163="Detailed Breakdown",$AJ163+$AK163,$S163*IFERROR(VLOOKUP($B163,'Cost Library'!$A$2:$Q$159,16,FALSE),0.1)))</f>
        <v>0</v>
      </c>
      <c r="AP163" s="3">
        <f t="shared" si="39"/>
        <v>0</v>
      </c>
      <c r="AQ163" s="32">
        <f t="shared" si="40"/>
        <v>0</v>
      </c>
      <c r="AR163" s="32">
        <f t="shared" si="41"/>
        <v>0</v>
      </c>
      <c r="AS163" s="32">
        <f t="shared" si="42"/>
        <v>0</v>
      </c>
      <c r="AT163" s="2" t="str">
        <f t="shared" si="43"/>
        <v/>
      </c>
      <c r="AU163" s="31" t="s">
        <v>116</v>
      </c>
      <c r="AV163" s="3">
        <f t="shared" si="44"/>
        <v>0</v>
      </c>
      <c r="AW163" s="3">
        <f t="shared" si="45"/>
        <v>0</v>
      </c>
      <c r="AX163" s="3">
        <f t="shared" si="46"/>
        <v>0</v>
      </c>
      <c r="AY163" s="3">
        <f t="shared" si="47"/>
        <v>0</v>
      </c>
      <c r="AZ163" s="3">
        <f t="shared" si="48"/>
        <v>0</v>
      </c>
      <c r="BA163" s="32">
        <f t="shared" si="49"/>
        <v>0</v>
      </c>
      <c r="BB163" s="2" t="str">
        <f t="shared" si="50"/>
        <v/>
      </c>
    </row>
    <row r="164" spans="1:54" ht="14.4">
      <c r="A164" s="13" t="s">
        <v>161</v>
      </c>
      <c r="B164" s="13"/>
      <c r="C164" s="14" t="str">
        <f>IFERROR(VLOOKUP($B164,'Cost Library'!$A$2:$M$159,2,FALSE),"")</f>
        <v/>
      </c>
      <c r="D164" s="14" t="str">
        <f>IFERROR(VLOOKUP($B164,'Cost Library'!$A$2:$M$159,3,FALSE),"")</f>
        <v/>
      </c>
      <c r="E164" s="13"/>
      <c r="F164" s="13"/>
      <c r="G164" s="13" t="str">
        <f>IFERROR(VLOOKUP($B164,'Cost Library'!$A$2:$M$159,5,FALSE),"")</f>
        <v/>
      </c>
      <c r="H164" s="13"/>
      <c r="I164" s="13"/>
      <c r="J164" s="13"/>
      <c r="K164" s="13"/>
      <c r="L164" s="13">
        <v>1</v>
      </c>
      <c r="M164" s="14" t="str">
        <f>IFERROR(VLOOKUP($B164,'Cost Library'!$A$2:$M$159,6,FALSE),"")</f>
        <v/>
      </c>
      <c r="N164" s="15">
        <f>IFERROR(VLOOKUP($B164,'Cost Library'!$A$2:$M$159,7,FALSE),0)</f>
        <v>0</v>
      </c>
      <c r="O164" s="15">
        <f>IFERROR(VLOOKUP($B164,'Cost Library'!$A$2:$M$159,8,FALSE),0)</f>
        <v>0</v>
      </c>
      <c r="P164" s="15">
        <f>IFERROR(VLOOKUP($B164,'Cost Library'!$A$2:$M$159,9,FALSE),0)</f>
        <v>0</v>
      </c>
      <c r="Q164" s="16"/>
      <c r="R164" s="16" t="s">
        <v>116</v>
      </c>
      <c r="S164" s="17">
        <f t="shared" si="34"/>
        <v>0</v>
      </c>
      <c r="T164" s="18">
        <f>'Project Inputs'!$C$15</f>
        <v>0.1</v>
      </c>
      <c r="U164" s="17">
        <f t="shared" si="35"/>
        <v>0</v>
      </c>
      <c r="V164" s="11" t="s">
        <v>247</v>
      </c>
      <c r="W164" s="14" t="str">
        <f>IFERROR(VLOOKUP($B164,'Cost Library'!$A$2:$M$159,10,FALSE),"")</f>
        <v/>
      </c>
      <c r="X164" s="11"/>
      <c r="Y164" s="11"/>
      <c r="Z164" s="11"/>
      <c r="AA164" s="11"/>
      <c r="AB164" s="11"/>
      <c r="AC164" s="11"/>
      <c r="AD164" s="30"/>
      <c r="AE164" s="31"/>
      <c r="AF164" s="3">
        <f t="shared" si="36"/>
        <v>0</v>
      </c>
      <c r="AG164" s="31"/>
      <c r="AH164" s="31"/>
      <c r="AI164" s="3">
        <f t="shared" si="37"/>
        <v>0</v>
      </c>
      <c r="AJ164" s="31"/>
      <c r="AK164" s="31"/>
      <c r="AL164" s="3">
        <f t="shared" si="38"/>
        <v>0</v>
      </c>
      <c r="AM164" s="3">
        <f>IF($A164&lt;&gt;"Yes",0,IF($R164="Detailed Breakdown",$AF164,$S164*IFERROR(VLOOKUP($B164,'Cost Library'!$A$2:$Q$159,14,FALSE),0.4)))</f>
        <v>0</v>
      </c>
      <c r="AN164" s="3">
        <f>IF($A164&lt;&gt;"Yes",0,IF($R164="Detailed Breakdown",$AI164,$S164*IFERROR(VLOOKUP($B164,'Cost Library'!$A$2:$Q$159,15,FALSE),0.5)))</f>
        <v>0</v>
      </c>
      <c r="AO164" s="3">
        <f>IF($A164&lt;&gt;"Yes",0,IF($R164="Detailed Breakdown",$AJ164+$AK164,$S164*IFERROR(VLOOKUP($B164,'Cost Library'!$A$2:$Q$159,16,FALSE),0.1)))</f>
        <v>0</v>
      </c>
      <c r="AP164" s="3">
        <f t="shared" si="39"/>
        <v>0</v>
      </c>
      <c r="AQ164" s="32">
        <f t="shared" si="40"/>
        <v>0</v>
      </c>
      <c r="AR164" s="32">
        <f t="shared" si="41"/>
        <v>0</v>
      </c>
      <c r="AS164" s="32">
        <f t="shared" si="42"/>
        <v>0</v>
      </c>
      <c r="AT164" s="2" t="str">
        <f t="shared" si="43"/>
        <v/>
      </c>
      <c r="AU164" s="31" t="s">
        <v>116</v>
      </c>
      <c r="AV164" s="3">
        <f t="shared" si="44"/>
        <v>0</v>
      </c>
      <c r="AW164" s="3">
        <f t="shared" si="45"/>
        <v>0</v>
      </c>
      <c r="AX164" s="3">
        <f t="shared" si="46"/>
        <v>0</v>
      </c>
      <c r="AY164" s="3">
        <f t="shared" si="47"/>
        <v>0</v>
      </c>
      <c r="AZ164" s="3">
        <f t="shared" si="48"/>
        <v>0</v>
      </c>
      <c r="BA164" s="32">
        <f t="shared" si="49"/>
        <v>0</v>
      </c>
      <c r="BB164" s="2" t="str">
        <f t="shared" si="50"/>
        <v/>
      </c>
    </row>
    <row r="165" spans="1:54" ht="14.4">
      <c r="A165" s="13" t="s">
        <v>161</v>
      </c>
      <c r="B165" s="13"/>
      <c r="C165" s="14" t="str">
        <f>IFERROR(VLOOKUP($B165,'Cost Library'!$A$2:$M$159,2,FALSE),"")</f>
        <v/>
      </c>
      <c r="D165" s="14" t="str">
        <f>IFERROR(VLOOKUP($B165,'Cost Library'!$A$2:$M$159,3,FALSE),"")</f>
        <v/>
      </c>
      <c r="E165" s="13"/>
      <c r="F165" s="13"/>
      <c r="G165" s="13" t="str">
        <f>IFERROR(VLOOKUP($B165,'Cost Library'!$A$2:$M$159,5,FALSE),"")</f>
        <v/>
      </c>
      <c r="H165" s="13"/>
      <c r="I165" s="13"/>
      <c r="J165" s="13"/>
      <c r="K165" s="13"/>
      <c r="L165" s="13">
        <v>1</v>
      </c>
      <c r="M165" s="14" t="str">
        <f>IFERROR(VLOOKUP($B165,'Cost Library'!$A$2:$M$159,6,FALSE),"")</f>
        <v/>
      </c>
      <c r="N165" s="15">
        <f>IFERROR(VLOOKUP($B165,'Cost Library'!$A$2:$M$159,7,FALSE),0)</f>
        <v>0</v>
      </c>
      <c r="O165" s="15">
        <f>IFERROR(VLOOKUP($B165,'Cost Library'!$A$2:$M$159,8,FALSE),0)</f>
        <v>0</v>
      </c>
      <c r="P165" s="15">
        <f>IFERROR(VLOOKUP($B165,'Cost Library'!$A$2:$M$159,9,FALSE),0)</f>
        <v>0</v>
      </c>
      <c r="Q165" s="16"/>
      <c r="R165" s="16" t="s">
        <v>116</v>
      </c>
      <c r="S165" s="17">
        <f t="shared" si="34"/>
        <v>0</v>
      </c>
      <c r="T165" s="18">
        <f>'Project Inputs'!$C$15</f>
        <v>0.1</v>
      </c>
      <c r="U165" s="17">
        <f t="shared" si="35"/>
        <v>0</v>
      </c>
      <c r="V165" s="11" t="s">
        <v>247</v>
      </c>
      <c r="W165" s="14" t="str">
        <f>IFERROR(VLOOKUP($B165,'Cost Library'!$A$2:$M$159,10,FALSE),"")</f>
        <v/>
      </c>
      <c r="X165" s="11"/>
      <c r="Y165" s="11"/>
      <c r="Z165" s="11"/>
      <c r="AA165" s="11"/>
      <c r="AB165" s="11"/>
      <c r="AC165" s="11"/>
      <c r="AD165" s="30"/>
      <c r="AE165" s="31"/>
      <c r="AF165" s="3">
        <f t="shared" si="36"/>
        <v>0</v>
      </c>
      <c r="AG165" s="31"/>
      <c r="AH165" s="31"/>
      <c r="AI165" s="3">
        <f t="shared" si="37"/>
        <v>0</v>
      </c>
      <c r="AJ165" s="31"/>
      <c r="AK165" s="31"/>
      <c r="AL165" s="3">
        <f t="shared" si="38"/>
        <v>0</v>
      </c>
      <c r="AM165" s="3">
        <f>IF($A165&lt;&gt;"Yes",0,IF($R165="Detailed Breakdown",$AF165,$S165*IFERROR(VLOOKUP($B165,'Cost Library'!$A$2:$Q$159,14,FALSE),0.4)))</f>
        <v>0</v>
      </c>
      <c r="AN165" s="3">
        <f>IF($A165&lt;&gt;"Yes",0,IF($R165="Detailed Breakdown",$AI165,$S165*IFERROR(VLOOKUP($B165,'Cost Library'!$A$2:$Q$159,15,FALSE),0.5)))</f>
        <v>0</v>
      </c>
      <c r="AO165" s="3">
        <f>IF($A165&lt;&gt;"Yes",0,IF($R165="Detailed Breakdown",$AJ165+$AK165,$S165*IFERROR(VLOOKUP($B165,'Cost Library'!$A$2:$Q$159,16,FALSE),0.1)))</f>
        <v>0</v>
      </c>
      <c r="AP165" s="3">
        <f t="shared" si="39"/>
        <v>0</v>
      </c>
      <c r="AQ165" s="32">
        <f t="shared" si="40"/>
        <v>0</v>
      </c>
      <c r="AR165" s="32">
        <f t="shared" si="41"/>
        <v>0</v>
      </c>
      <c r="AS165" s="32">
        <f t="shared" si="42"/>
        <v>0</v>
      </c>
      <c r="AT165" s="2" t="str">
        <f t="shared" si="43"/>
        <v/>
      </c>
      <c r="AU165" s="31" t="s">
        <v>116</v>
      </c>
      <c r="AV165" s="3">
        <f t="shared" si="44"/>
        <v>0</v>
      </c>
      <c r="AW165" s="3">
        <f t="shared" si="45"/>
        <v>0</v>
      </c>
      <c r="AX165" s="3">
        <f t="shared" si="46"/>
        <v>0</v>
      </c>
      <c r="AY165" s="3">
        <f t="shared" si="47"/>
        <v>0</v>
      </c>
      <c r="AZ165" s="3">
        <f t="shared" si="48"/>
        <v>0</v>
      </c>
      <c r="BA165" s="32">
        <f t="shared" si="49"/>
        <v>0</v>
      </c>
      <c r="BB165" s="2" t="str">
        <f t="shared" si="50"/>
        <v/>
      </c>
    </row>
    <row r="166" spans="1:54" ht="14.4">
      <c r="A166" s="13" t="s">
        <v>161</v>
      </c>
      <c r="B166" s="13"/>
      <c r="C166" s="14" t="str">
        <f>IFERROR(VLOOKUP($B166,'Cost Library'!$A$2:$M$159,2,FALSE),"")</f>
        <v/>
      </c>
      <c r="D166" s="14" t="str">
        <f>IFERROR(VLOOKUP($B166,'Cost Library'!$A$2:$M$159,3,FALSE),"")</f>
        <v/>
      </c>
      <c r="E166" s="13"/>
      <c r="F166" s="13"/>
      <c r="G166" s="13" t="str">
        <f>IFERROR(VLOOKUP($B166,'Cost Library'!$A$2:$M$159,5,FALSE),"")</f>
        <v/>
      </c>
      <c r="H166" s="13"/>
      <c r="I166" s="13"/>
      <c r="J166" s="13"/>
      <c r="K166" s="13"/>
      <c r="L166" s="13">
        <v>1</v>
      </c>
      <c r="M166" s="14" t="str">
        <f>IFERROR(VLOOKUP($B166,'Cost Library'!$A$2:$M$159,6,FALSE),"")</f>
        <v/>
      </c>
      <c r="N166" s="15">
        <f>IFERROR(VLOOKUP($B166,'Cost Library'!$A$2:$M$159,7,FALSE),0)</f>
        <v>0</v>
      </c>
      <c r="O166" s="15">
        <f>IFERROR(VLOOKUP($B166,'Cost Library'!$A$2:$M$159,8,FALSE),0)</f>
        <v>0</v>
      </c>
      <c r="P166" s="15">
        <f>IFERROR(VLOOKUP($B166,'Cost Library'!$A$2:$M$159,9,FALSE),0)</f>
        <v>0</v>
      </c>
      <c r="Q166" s="16"/>
      <c r="R166" s="16" t="s">
        <v>116</v>
      </c>
      <c r="S166" s="17">
        <f t="shared" si="34"/>
        <v>0</v>
      </c>
      <c r="T166" s="18">
        <f>'Project Inputs'!$C$15</f>
        <v>0.1</v>
      </c>
      <c r="U166" s="17">
        <f t="shared" si="35"/>
        <v>0</v>
      </c>
      <c r="V166" s="11" t="s">
        <v>247</v>
      </c>
      <c r="W166" s="14" t="str">
        <f>IFERROR(VLOOKUP($B166,'Cost Library'!$A$2:$M$159,10,FALSE),"")</f>
        <v/>
      </c>
      <c r="X166" s="11"/>
      <c r="Y166" s="11"/>
      <c r="Z166" s="11"/>
      <c r="AA166" s="11"/>
      <c r="AB166" s="11"/>
      <c r="AC166" s="11"/>
      <c r="AD166" s="30"/>
      <c r="AE166" s="31"/>
      <c r="AF166" s="3">
        <f t="shared" si="36"/>
        <v>0</v>
      </c>
      <c r="AG166" s="31"/>
      <c r="AH166" s="31"/>
      <c r="AI166" s="3">
        <f t="shared" si="37"/>
        <v>0</v>
      </c>
      <c r="AJ166" s="31"/>
      <c r="AK166" s="31"/>
      <c r="AL166" s="3">
        <f t="shared" si="38"/>
        <v>0</v>
      </c>
      <c r="AM166" s="3">
        <f>IF($A166&lt;&gt;"Yes",0,IF($R166="Detailed Breakdown",$AF166,$S166*IFERROR(VLOOKUP($B166,'Cost Library'!$A$2:$Q$159,14,FALSE),0.4)))</f>
        <v>0</v>
      </c>
      <c r="AN166" s="3">
        <f>IF($A166&lt;&gt;"Yes",0,IF($R166="Detailed Breakdown",$AI166,$S166*IFERROR(VLOOKUP($B166,'Cost Library'!$A$2:$Q$159,15,FALSE),0.5)))</f>
        <v>0</v>
      </c>
      <c r="AO166" s="3">
        <f>IF($A166&lt;&gt;"Yes",0,IF($R166="Detailed Breakdown",$AJ166+$AK166,$S166*IFERROR(VLOOKUP($B166,'Cost Library'!$A$2:$Q$159,16,FALSE),0.1)))</f>
        <v>0</v>
      </c>
      <c r="AP166" s="3">
        <f t="shared" si="39"/>
        <v>0</v>
      </c>
      <c r="AQ166" s="32">
        <f t="shared" si="40"/>
        <v>0</v>
      </c>
      <c r="AR166" s="32">
        <f t="shared" si="41"/>
        <v>0</v>
      </c>
      <c r="AS166" s="32">
        <f t="shared" si="42"/>
        <v>0</v>
      </c>
      <c r="AT166" s="2" t="str">
        <f t="shared" si="43"/>
        <v/>
      </c>
      <c r="AU166" s="31" t="s">
        <v>116</v>
      </c>
      <c r="AV166" s="3">
        <f t="shared" si="44"/>
        <v>0</v>
      </c>
      <c r="AW166" s="3">
        <f t="shared" si="45"/>
        <v>0</v>
      </c>
      <c r="AX166" s="3">
        <f t="shared" si="46"/>
        <v>0</v>
      </c>
      <c r="AY166" s="3">
        <f t="shared" si="47"/>
        <v>0</v>
      </c>
      <c r="AZ166" s="3">
        <f t="shared" si="48"/>
        <v>0</v>
      </c>
      <c r="BA166" s="32">
        <f t="shared" si="49"/>
        <v>0</v>
      </c>
      <c r="BB166" s="2" t="str">
        <f t="shared" si="50"/>
        <v/>
      </c>
    </row>
    <row r="167" spans="1:54" ht="14.4">
      <c r="A167" s="13" t="s">
        <v>161</v>
      </c>
      <c r="B167" s="13"/>
      <c r="C167" s="14" t="str">
        <f>IFERROR(VLOOKUP($B167,'Cost Library'!$A$2:$M$159,2,FALSE),"")</f>
        <v/>
      </c>
      <c r="D167" s="14" t="str">
        <f>IFERROR(VLOOKUP($B167,'Cost Library'!$A$2:$M$159,3,FALSE),"")</f>
        <v/>
      </c>
      <c r="E167" s="13"/>
      <c r="F167" s="13"/>
      <c r="G167" s="13" t="str">
        <f>IFERROR(VLOOKUP($B167,'Cost Library'!$A$2:$M$159,5,FALSE),"")</f>
        <v/>
      </c>
      <c r="H167" s="13"/>
      <c r="I167" s="13"/>
      <c r="J167" s="13"/>
      <c r="K167" s="13"/>
      <c r="L167" s="13">
        <v>1</v>
      </c>
      <c r="M167" s="14" t="str">
        <f>IFERROR(VLOOKUP($B167,'Cost Library'!$A$2:$M$159,6,FALSE),"")</f>
        <v/>
      </c>
      <c r="N167" s="15">
        <f>IFERROR(VLOOKUP($B167,'Cost Library'!$A$2:$M$159,7,FALSE),0)</f>
        <v>0</v>
      </c>
      <c r="O167" s="15">
        <f>IFERROR(VLOOKUP($B167,'Cost Library'!$A$2:$M$159,8,FALSE),0)</f>
        <v>0</v>
      </c>
      <c r="P167" s="15">
        <f>IFERROR(VLOOKUP($B167,'Cost Library'!$A$2:$M$159,9,FALSE),0)</f>
        <v>0</v>
      </c>
      <c r="Q167" s="16"/>
      <c r="R167" s="16" t="s">
        <v>116</v>
      </c>
      <c r="S167" s="17">
        <f t="shared" si="34"/>
        <v>0</v>
      </c>
      <c r="T167" s="18">
        <f>'Project Inputs'!$C$15</f>
        <v>0.1</v>
      </c>
      <c r="U167" s="17">
        <f t="shared" si="35"/>
        <v>0</v>
      </c>
      <c r="V167" s="11" t="s">
        <v>247</v>
      </c>
      <c r="W167" s="14" t="str">
        <f>IFERROR(VLOOKUP($B167,'Cost Library'!$A$2:$M$159,10,FALSE),"")</f>
        <v/>
      </c>
      <c r="X167" s="11"/>
      <c r="Y167" s="11"/>
      <c r="Z167" s="11"/>
      <c r="AA167" s="11"/>
      <c r="AB167" s="11"/>
      <c r="AC167" s="11"/>
      <c r="AD167" s="30"/>
      <c r="AE167" s="31"/>
      <c r="AF167" s="3">
        <f t="shared" si="36"/>
        <v>0</v>
      </c>
      <c r="AG167" s="31"/>
      <c r="AH167" s="31"/>
      <c r="AI167" s="3">
        <f t="shared" si="37"/>
        <v>0</v>
      </c>
      <c r="AJ167" s="31"/>
      <c r="AK167" s="31"/>
      <c r="AL167" s="3">
        <f t="shared" si="38"/>
        <v>0</v>
      </c>
      <c r="AM167" s="3">
        <f>IF($A167&lt;&gt;"Yes",0,IF($R167="Detailed Breakdown",$AF167,$S167*IFERROR(VLOOKUP($B167,'Cost Library'!$A$2:$Q$159,14,FALSE),0.4)))</f>
        <v>0</v>
      </c>
      <c r="AN167" s="3">
        <f>IF($A167&lt;&gt;"Yes",0,IF($R167="Detailed Breakdown",$AI167,$S167*IFERROR(VLOOKUP($B167,'Cost Library'!$A$2:$Q$159,15,FALSE),0.5)))</f>
        <v>0</v>
      </c>
      <c r="AO167" s="3">
        <f>IF($A167&lt;&gt;"Yes",0,IF($R167="Detailed Breakdown",$AJ167+$AK167,$S167*IFERROR(VLOOKUP($B167,'Cost Library'!$A$2:$Q$159,16,FALSE),0.1)))</f>
        <v>0</v>
      </c>
      <c r="AP167" s="3">
        <f t="shared" si="39"/>
        <v>0</v>
      </c>
      <c r="AQ167" s="32">
        <f t="shared" si="40"/>
        <v>0</v>
      </c>
      <c r="AR167" s="32">
        <f t="shared" si="41"/>
        <v>0</v>
      </c>
      <c r="AS167" s="32">
        <f t="shared" si="42"/>
        <v>0</v>
      </c>
      <c r="AT167" s="2" t="str">
        <f t="shared" si="43"/>
        <v/>
      </c>
      <c r="AU167" s="31" t="s">
        <v>116</v>
      </c>
      <c r="AV167" s="3">
        <f t="shared" si="44"/>
        <v>0</v>
      </c>
      <c r="AW167" s="3">
        <f t="shared" si="45"/>
        <v>0</v>
      </c>
      <c r="AX167" s="3">
        <f t="shared" si="46"/>
        <v>0</v>
      </c>
      <c r="AY167" s="3">
        <f t="shared" si="47"/>
        <v>0</v>
      </c>
      <c r="AZ167" s="3">
        <f t="shared" si="48"/>
        <v>0</v>
      </c>
      <c r="BA167" s="32">
        <f t="shared" si="49"/>
        <v>0</v>
      </c>
      <c r="BB167" s="2" t="str">
        <f t="shared" si="50"/>
        <v/>
      </c>
    </row>
    <row r="168" spans="1:54" ht="14.4">
      <c r="A168" s="13" t="s">
        <v>161</v>
      </c>
      <c r="B168" s="13"/>
      <c r="C168" s="14" t="str">
        <f>IFERROR(VLOOKUP($B168,'Cost Library'!$A$2:$M$159,2,FALSE),"")</f>
        <v/>
      </c>
      <c r="D168" s="14" t="str">
        <f>IFERROR(VLOOKUP($B168,'Cost Library'!$A$2:$M$159,3,FALSE),"")</f>
        <v/>
      </c>
      <c r="E168" s="13"/>
      <c r="F168" s="13"/>
      <c r="G168" s="13" t="str">
        <f>IFERROR(VLOOKUP($B168,'Cost Library'!$A$2:$M$159,5,FALSE),"")</f>
        <v/>
      </c>
      <c r="H168" s="13"/>
      <c r="I168" s="13"/>
      <c r="J168" s="13"/>
      <c r="K168" s="13"/>
      <c r="L168" s="13">
        <v>1</v>
      </c>
      <c r="M168" s="14" t="str">
        <f>IFERROR(VLOOKUP($B168,'Cost Library'!$A$2:$M$159,6,FALSE),"")</f>
        <v/>
      </c>
      <c r="N168" s="15">
        <f>IFERROR(VLOOKUP($B168,'Cost Library'!$A$2:$M$159,7,FALSE),0)</f>
        <v>0</v>
      </c>
      <c r="O168" s="15">
        <f>IFERROR(VLOOKUP($B168,'Cost Library'!$A$2:$M$159,8,FALSE),0)</f>
        <v>0</v>
      </c>
      <c r="P168" s="15">
        <f>IFERROR(VLOOKUP($B168,'Cost Library'!$A$2:$M$159,9,FALSE),0)</f>
        <v>0</v>
      </c>
      <c r="Q168" s="16"/>
      <c r="R168" s="16" t="s">
        <v>116</v>
      </c>
      <c r="S168" s="17">
        <f t="shared" si="34"/>
        <v>0</v>
      </c>
      <c r="T168" s="18">
        <f>'Project Inputs'!$C$15</f>
        <v>0.1</v>
      </c>
      <c r="U168" s="17">
        <f t="shared" si="35"/>
        <v>0</v>
      </c>
      <c r="V168" s="11" t="s">
        <v>247</v>
      </c>
      <c r="W168" s="14" t="str">
        <f>IFERROR(VLOOKUP($B168,'Cost Library'!$A$2:$M$159,10,FALSE),"")</f>
        <v/>
      </c>
      <c r="X168" s="11"/>
      <c r="Y168" s="11"/>
      <c r="Z168" s="11"/>
      <c r="AA168" s="11"/>
      <c r="AB168" s="11"/>
      <c r="AC168" s="11"/>
      <c r="AD168" s="30"/>
      <c r="AE168" s="31"/>
      <c r="AF168" s="3">
        <f t="shared" si="36"/>
        <v>0</v>
      </c>
      <c r="AG168" s="31"/>
      <c r="AH168" s="31"/>
      <c r="AI168" s="3">
        <f t="shared" si="37"/>
        <v>0</v>
      </c>
      <c r="AJ168" s="31"/>
      <c r="AK168" s="31"/>
      <c r="AL168" s="3">
        <f t="shared" si="38"/>
        <v>0</v>
      </c>
      <c r="AM168" s="3">
        <f>IF($A168&lt;&gt;"Yes",0,IF($R168="Detailed Breakdown",$AF168,$S168*IFERROR(VLOOKUP($B168,'Cost Library'!$A$2:$Q$159,14,FALSE),0.4)))</f>
        <v>0</v>
      </c>
      <c r="AN168" s="3">
        <f>IF($A168&lt;&gt;"Yes",0,IF($R168="Detailed Breakdown",$AI168,$S168*IFERROR(VLOOKUP($B168,'Cost Library'!$A$2:$Q$159,15,FALSE),0.5)))</f>
        <v>0</v>
      </c>
      <c r="AO168" s="3">
        <f>IF($A168&lt;&gt;"Yes",0,IF($R168="Detailed Breakdown",$AJ168+$AK168,$S168*IFERROR(VLOOKUP($B168,'Cost Library'!$A$2:$Q$159,16,FALSE),0.1)))</f>
        <v>0</v>
      </c>
      <c r="AP168" s="3">
        <f t="shared" si="39"/>
        <v>0</v>
      </c>
      <c r="AQ168" s="32">
        <f t="shared" si="40"/>
        <v>0</v>
      </c>
      <c r="AR168" s="32">
        <f t="shared" si="41"/>
        <v>0</v>
      </c>
      <c r="AS168" s="32">
        <f t="shared" si="42"/>
        <v>0</v>
      </c>
      <c r="AT168" s="2" t="str">
        <f t="shared" si="43"/>
        <v/>
      </c>
      <c r="AU168" s="31" t="s">
        <v>116</v>
      </c>
      <c r="AV168" s="3">
        <f t="shared" si="44"/>
        <v>0</v>
      </c>
      <c r="AW168" s="3">
        <f t="shared" si="45"/>
        <v>0</v>
      </c>
      <c r="AX168" s="3">
        <f t="shared" si="46"/>
        <v>0</v>
      </c>
      <c r="AY168" s="3">
        <f t="shared" si="47"/>
        <v>0</v>
      </c>
      <c r="AZ168" s="3">
        <f t="shared" si="48"/>
        <v>0</v>
      </c>
      <c r="BA168" s="32">
        <f t="shared" si="49"/>
        <v>0</v>
      </c>
      <c r="BB168" s="2" t="str">
        <f t="shared" si="50"/>
        <v/>
      </c>
    </row>
    <row r="169" spans="1:54" ht="14.4">
      <c r="A169" s="13" t="s">
        <v>161</v>
      </c>
      <c r="B169" s="13"/>
      <c r="C169" s="14" t="str">
        <f>IFERROR(VLOOKUP($B169,'Cost Library'!$A$2:$M$159,2,FALSE),"")</f>
        <v/>
      </c>
      <c r="D169" s="14" t="str">
        <f>IFERROR(VLOOKUP($B169,'Cost Library'!$A$2:$M$159,3,FALSE),"")</f>
        <v/>
      </c>
      <c r="E169" s="13"/>
      <c r="F169" s="13"/>
      <c r="G169" s="13" t="str">
        <f>IFERROR(VLOOKUP($B169,'Cost Library'!$A$2:$M$159,5,FALSE),"")</f>
        <v/>
      </c>
      <c r="H169" s="13"/>
      <c r="I169" s="13"/>
      <c r="J169" s="13"/>
      <c r="K169" s="13"/>
      <c r="L169" s="13">
        <v>1</v>
      </c>
      <c r="M169" s="14" t="str">
        <f>IFERROR(VLOOKUP($B169,'Cost Library'!$A$2:$M$159,6,FALSE),"")</f>
        <v/>
      </c>
      <c r="N169" s="15">
        <f>IFERROR(VLOOKUP($B169,'Cost Library'!$A$2:$M$159,7,FALSE),0)</f>
        <v>0</v>
      </c>
      <c r="O169" s="15">
        <f>IFERROR(VLOOKUP($B169,'Cost Library'!$A$2:$M$159,8,FALSE),0)</f>
        <v>0</v>
      </c>
      <c r="P169" s="15">
        <f>IFERROR(VLOOKUP($B169,'Cost Library'!$A$2:$M$159,9,FALSE),0)</f>
        <v>0</v>
      </c>
      <c r="Q169" s="16"/>
      <c r="R169" s="16" t="s">
        <v>116</v>
      </c>
      <c r="S169" s="17">
        <f t="shared" si="34"/>
        <v>0</v>
      </c>
      <c r="T169" s="18">
        <f>'Project Inputs'!$C$15</f>
        <v>0.1</v>
      </c>
      <c r="U169" s="17">
        <f t="shared" si="35"/>
        <v>0</v>
      </c>
      <c r="V169" s="11" t="s">
        <v>247</v>
      </c>
      <c r="W169" s="14" t="str">
        <f>IFERROR(VLOOKUP($B169,'Cost Library'!$A$2:$M$159,10,FALSE),"")</f>
        <v/>
      </c>
      <c r="X169" s="11"/>
      <c r="Y169" s="11"/>
      <c r="Z169" s="11"/>
      <c r="AA169" s="11"/>
      <c r="AB169" s="11"/>
      <c r="AC169" s="11"/>
      <c r="AD169" s="30"/>
      <c r="AE169" s="31"/>
      <c r="AF169" s="3">
        <f t="shared" si="36"/>
        <v>0</v>
      </c>
      <c r="AG169" s="31"/>
      <c r="AH169" s="31"/>
      <c r="AI169" s="3">
        <f t="shared" si="37"/>
        <v>0</v>
      </c>
      <c r="AJ169" s="31"/>
      <c r="AK169" s="31"/>
      <c r="AL169" s="3">
        <f t="shared" si="38"/>
        <v>0</v>
      </c>
      <c r="AM169" s="3">
        <f>IF($A169&lt;&gt;"Yes",0,IF($R169="Detailed Breakdown",$AF169,$S169*IFERROR(VLOOKUP($B169,'Cost Library'!$A$2:$Q$159,14,FALSE),0.4)))</f>
        <v>0</v>
      </c>
      <c r="AN169" s="3">
        <f>IF($A169&lt;&gt;"Yes",0,IF($R169="Detailed Breakdown",$AI169,$S169*IFERROR(VLOOKUP($B169,'Cost Library'!$A$2:$Q$159,15,FALSE),0.5)))</f>
        <v>0</v>
      </c>
      <c r="AO169" s="3">
        <f>IF($A169&lt;&gt;"Yes",0,IF($R169="Detailed Breakdown",$AJ169+$AK169,$S169*IFERROR(VLOOKUP($B169,'Cost Library'!$A$2:$Q$159,16,FALSE),0.1)))</f>
        <v>0</v>
      </c>
      <c r="AP169" s="3">
        <f t="shared" si="39"/>
        <v>0</v>
      </c>
      <c r="AQ169" s="32">
        <f t="shared" si="40"/>
        <v>0</v>
      </c>
      <c r="AR169" s="32">
        <f t="shared" si="41"/>
        <v>0</v>
      </c>
      <c r="AS169" s="32">
        <f t="shared" si="42"/>
        <v>0</v>
      </c>
      <c r="AT169" s="2" t="str">
        <f t="shared" si="43"/>
        <v/>
      </c>
      <c r="AU169" s="31" t="s">
        <v>116</v>
      </c>
      <c r="AV169" s="3">
        <f t="shared" si="44"/>
        <v>0</v>
      </c>
      <c r="AW169" s="3">
        <f t="shared" si="45"/>
        <v>0</v>
      </c>
      <c r="AX169" s="3">
        <f t="shared" si="46"/>
        <v>0</v>
      </c>
      <c r="AY169" s="3">
        <f t="shared" si="47"/>
        <v>0</v>
      </c>
      <c r="AZ169" s="3">
        <f t="shared" si="48"/>
        <v>0</v>
      </c>
      <c r="BA169" s="32">
        <f t="shared" si="49"/>
        <v>0</v>
      </c>
      <c r="BB169" s="2" t="str">
        <f t="shared" si="50"/>
        <v/>
      </c>
    </row>
    <row r="170" spans="1:54" ht="14.4">
      <c r="A170" s="13" t="s">
        <v>161</v>
      </c>
      <c r="B170" s="13"/>
      <c r="C170" s="14" t="str">
        <f>IFERROR(VLOOKUP($B170,'Cost Library'!$A$2:$M$159,2,FALSE),"")</f>
        <v/>
      </c>
      <c r="D170" s="14" t="str">
        <f>IFERROR(VLOOKUP($B170,'Cost Library'!$A$2:$M$159,3,FALSE),"")</f>
        <v/>
      </c>
      <c r="E170" s="13"/>
      <c r="F170" s="13"/>
      <c r="G170" s="13" t="str">
        <f>IFERROR(VLOOKUP($B170,'Cost Library'!$A$2:$M$159,5,FALSE),"")</f>
        <v/>
      </c>
      <c r="H170" s="13"/>
      <c r="I170" s="13"/>
      <c r="J170" s="13"/>
      <c r="K170" s="13"/>
      <c r="L170" s="13">
        <v>1</v>
      </c>
      <c r="M170" s="14" t="str">
        <f>IFERROR(VLOOKUP($B170,'Cost Library'!$A$2:$M$159,6,FALSE),"")</f>
        <v/>
      </c>
      <c r="N170" s="15">
        <f>IFERROR(VLOOKUP($B170,'Cost Library'!$A$2:$M$159,7,FALSE),0)</f>
        <v>0</v>
      </c>
      <c r="O170" s="15">
        <f>IFERROR(VLOOKUP($B170,'Cost Library'!$A$2:$M$159,8,FALSE),0)</f>
        <v>0</v>
      </c>
      <c r="P170" s="15">
        <f>IFERROR(VLOOKUP($B170,'Cost Library'!$A$2:$M$159,9,FALSE),0)</f>
        <v>0</v>
      </c>
      <c r="Q170" s="16"/>
      <c r="R170" s="16" t="s">
        <v>116</v>
      </c>
      <c r="S170" s="17">
        <f t="shared" si="34"/>
        <v>0</v>
      </c>
      <c r="T170" s="18">
        <f>'Project Inputs'!$C$15</f>
        <v>0.1</v>
      </c>
      <c r="U170" s="17">
        <f t="shared" si="35"/>
        <v>0</v>
      </c>
      <c r="V170" s="11" t="s">
        <v>247</v>
      </c>
      <c r="W170" s="14" t="str">
        <f>IFERROR(VLOOKUP($B170,'Cost Library'!$A$2:$M$159,10,FALSE),"")</f>
        <v/>
      </c>
      <c r="X170" s="11"/>
      <c r="Y170" s="11"/>
      <c r="Z170" s="11"/>
      <c r="AA170" s="11"/>
      <c r="AB170" s="11"/>
      <c r="AC170" s="11"/>
      <c r="AD170" s="30"/>
      <c r="AE170" s="31"/>
      <c r="AF170" s="3">
        <f t="shared" si="36"/>
        <v>0</v>
      </c>
      <c r="AG170" s="31"/>
      <c r="AH170" s="31"/>
      <c r="AI170" s="3">
        <f t="shared" si="37"/>
        <v>0</v>
      </c>
      <c r="AJ170" s="31"/>
      <c r="AK170" s="31"/>
      <c r="AL170" s="3">
        <f t="shared" si="38"/>
        <v>0</v>
      </c>
      <c r="AM170" s="3">
        <f>IF($A170&lt;&gt;"Yes",0,IF($R170="Detailed Breakdown",$AF170,$S170*IFERROR(VLOOKUP($B170,'Cost Library'!$A$2:$Q$159,14,FALSE),0.4)))</f>
        <v>0</v>
      </c>
      <c r="AN170" s="3">
        <f>IF($A170&lt;&gt;"Yes",0,IF($R170="Detailed Breakdown",$AI170,$S170*IFERROR(VLOOKUP($B170,'Cost Library'!$A$2:$Q$159,15,FALSE),0.5)))</f>
        <v>0</v>
      </c>
      <c r="AO170" s="3">
        <f>IF($A170&lt;&gt;"Yes",0,IF($R170="Detailed Breakdown",$AJ170+$AK170,$S170*IFERROR(VLOOKUP($B170,'Cost Library'!$A$2:$Q$159,16,FALSE),0.1)))</f>
        <v>0</v>
      </c>
      <c r="AP170" s="3">
        <f t="shared" si="39"/>
        <v>0</v>
      </c>
      <c r="AQ170" s="32">
        <f t="shared" si="40"/>
        <v>0</v>
      </c>
      <c r="AR170" s="32">
        <f t="shared" si="41"/>
        <v>0</v>
      </c>
      <c r="AS170" s="32">
        <f t="shared" si="42"/>
        <v>0</v>
      </c>
      <c r="AT170" s="2" t="str">
        <f t="shared" si="43"/>
        <v/>
      </c>
      <c r="AU170" s="31" t="s">
        <v>116</v>
      </c>
      <c r="AV170" s="3">
        <f t="shared" si="44"/>
        <v>0</v>
      </c>
      <c r="AW170" s="3">
        <f t="shared" si="45"/>
        <v>0</v>
      </c>
      <c r="AX170" s="3">
        <f t="shared" si="46"/>
        <v>0</v>
      </c>
      <c r="AY170" s="3">
        <f t="shared" si="47"/>
        <v>0</v>
      </c>
      <c r="AZ170" s="3">
        <f t="shared" si="48"/>
        <v>0</v>
      </c>
      <c r="BA170" s="32">
        <f t="shared" si="49"/>
        <v>0</v>
      </c>
      <c r="BB170" s="2" t="str">
        <f t="shared" si="50"/>
        <v/>
      </c>
    </row>
    <row r="171" spans="1:54" ht="14.4">
      <c r="A171" s="13" t="s">
        <v>161</v>
      </c>
      <c r="B171" s="13"/>
      <c r="C171" s="14" t="str">
        <f>IFERROR(VLOOKUP($B171,'Cost Library'!$A$2:$M$159,2,FALSE),"")</f>
        <v/>
      </c>
      <c r="D171" s="14" t="str">
        <f>IFERROR(VLOOKUP($B171,'Cost Library'!$A$2:$M$159,3,FALSE),"")</f>
        <v/>
      </c>
      <c r="E171" s="13"/>
      <c r="F171" s="13"/>
      <c r="G171" s="13" t="str">
        <f>IFERROR(VLOOKUP($B171,'Cost Library'!$A$2:$M$159,5,FALSE),"")</f>
        <v/>
      </c>
      <c r="H171" s="13"/>
      <c r="I171" s="13"/>
      <c r="J171" s="13"/>
      <c r="K171" s="13"/>
      <c r="L171" s="13">
        <v>1</v>
      </c>
      <c r="M171" s="14" t="str">
        <f>IFERROR(VLOOKUP($B171,'Cost Library'!$A$2:$M$159,6,FALSE),"")</f>
        <v/>
      </c>
      <c r="N171" s="15">
        <f>IFERROR(VLOOKUP($B171,'Cost Library'!$A$2:$M$159,7,FALSE),0)</f>
        <v>0</v>
      </c>
      <c r="O171" s="15">
        <f>IFERROR(VLOOKUP($B171,'Cost Library'!$A$2:$M$159,8,FALSE),0)</f>
        <v>0</v>
      </c>
      <c r="P171" s="15">
        <f>IFERROR(VLOOKUP($B171,'Cost Library'!$A$2:$M$159,9,FALSE),0)</f>
        <v>0</v>
      </c>
      <c r="Q171" s="16"/>
      <c r="R171" s="16" t="s">
        <v>116</v>
      </c>
      <c r="S171" s="17">
        <f t="shared" si="34"/>
        <v>0</v>
      </c>
      <c r="T171" s="18">
        <f>'Project Inputs'!$C$15</f>
        <v>0.1</v>
      </c>
      <c r="U171" s="17">
        <f t="shared" si="35"/>
        <v>0</v>
      </c>
      <c r="V171" s="11" t="s">
        <v>247</v>
      </c>
      <c r="W171" s="14" t="str">
        <f>IFERROR(VLOOKUP($B171,'Cost Library'!$A$2:$M$159,10,FALSE),"")</f>
        <v/>
      </c>
      <c r="X171" s="11"/>
      <c r="Y171" s="11"/>
      <c r="Z171" s="11"/>
      <c r="AA171" s="11"/>
      <c r="AB171" s="11"/>
      <c r="AC171" s="11"/>
      <c r="AD171" s="30"/>
      <c r="AE171" s="31"/>
      <c r="AF171" s="3">
        <f t="shared" si="36"/>
        <v>0</v>
      </c>
      <c r="AG171" s="31"/>
      <c r="AH171" s="31"/>
      <c r="AI171" s="3">
        <f t="shared" si="37"/>
        <v>0</v>
      </c>
      <c r="AJ171" s="31"/>
      <c r="AK171" s="31"/>
      <c r="AL171" s="3">
        <f t="shared" si="38"/>
        <v>0</v>
      </c>
      <c r="AM171" s="3">
        <f>IF($A171&lt;&gt;"Yes",0,IF($R171="Detailed Breakdown",$AF171,$S171*IFERROR(VLOOKUP($B171,'Cost Library'!$A$2:$Q$159,14,FALSE),0.4)))</f>
        <v>0</v>
      </c>
      <c r="AN171" s="3">
        <f>IF($A171&lt;&gt;"Yes",0,IF($R171="Detailed Breakdown",$AI171,$S171*IFERROR(VLOOKUP($B171,'Cost Library'!$A$2:$Q$159,15,FALSE),0.5)))</f>
        <v>0</v>
      </c>
      <c r="AO171" s="3">
        <f>IF($A171&lt;&gt;"Yes",0,IF($R171="Detailed Breakdown",$AJ171+$AK171,$S171*IFERROR(VLOOKUP($B171,'Cost Library'!$A$2:$Q$159,16,FALSE),0.1)))</f>
        <v>0</v>
      </c>
      <c r="AP171" s="3">
        <f t="shared" si="39"/>
        <v>0</v>
      </c>
      <c r="AQ171" s="32">
        <f t="shared" si="40"/>
        <v>0</v>
      </c>
      <c r="AR171" s="32">
        <f t="shared" si="41"/>
        <v>0</v>
      </c>
      <c r="AS171" s="32">
        <f t="shared" si="42"/>
        <v>0</v>
      </c>
      <c r="AT171" s="2" t="str">
        <f t="shared" si="43"/>
        <v/>
      </c>
      <c r="AU171" s="31" t="s">
        <v>116</v>
      </c>
      <c r="AV171" s="3">
        <f t="shared" si="44"/>
        <v>0</v>
      </c>
      <c r="AW171" s="3">
        <f t="shared" si="45"/>
        <v>0</v>
      </c>
      <c r="AX171" s="3">
        <f t="shared" si="46"/>
        <v>0</v>
      </c>
      <c r="AY171" s="3">
        <f t="shared" si="47"/>
        <v>0</v>
      </c>
      <c r="AZ171" s="3">
        <f t="shared" si="48"/>
        <v>0</v>
      </c>
      <c r="BA171" s="32">
        <f t="shared" si="49"/>
        <v>0</v>
      </c>
      <c r="BB171" s="2" t="str">
        <f t="shared" si="50"/>
        <v/>
      </c>
    </row>
    <row r="172" spans="1:54" ht="14.4">
      <c r="A172" s="13" t="s">
        <v>161</v>
      </c>
      <c r="B172" s="13"/>
      <c r="C172" s="14" t="str">
        <f>IFERROR(VLOOKUP($B172,'Cost Library'!$A$2:$M$159,2,FALSE),"")</f>
        <v/>
      </c>
      <c r="D172" s="14" t="str">
        <f>IFERROR(VLOOKUP($B172,'Cost Library'!$A$2:$M$159,3,FALSE),"")</f>
        <v/>
      </c>
      <c r="E172" s="13"/>
      <c r="F172" s="13"/>
      <c r="G172" s="13" t="str">
        <f>IFERROR(VLOOKUP($B172,'Cost Library'!$A$2:$M$159,5,FALSE),"")</f>
        <v/>
      </c>
      <c r="H172" s="13"/>
      <c r="I172" s="13"/>
      <c r="J172" s="13"/>
      <c r="K172" s="13"/>
      <c r="L172" s="13">
        <v>1</v>
      </c>
      <c r="M172" s="14" t="str">
        <f>IFERROR(VLOOKUP($B172,'Cost Library'!$A$2:$M$159,6,FALSE),"")</f>
        <v/>
      </c>
      <c r="N172" s="15">
        <f>IFERROR(VLOOKUP($B172,'Cost Library'!$A$2:$M$159,7,FALSE),0)</f>
        <v>0</v>
      </c>
      <c r="O172" s="15">
        <f>IFERROR(VLOOKUP($B172,'Cost Library'!$A$2:$M$159,8,FALSE),0)</f>
        <v>0</v>
      </c>
      <c r="P172" s="15">
        <f>IFERROR(VLOOKUP($B172,'Cost Library'!$A$2:$M$159,9,FALSE),0)</f>
        <v>0</v>
      </c>
      <c r="Q172" s="16"/>
      <c r="R172" s="16" t="s">
        <v>116</v>
      </c>
      <c r="S172" s="17">
        <f t="shared" si="34"/>
        <v>0</v>
      </c>
      <c r="T172" s="18">
        <f>'Project Inputs'!$C$15</f>
        <v>0.1</v>
      </c>
      <c r="U172" s="17">
        <f t="shared" si="35"/>
        <v>0</v>
      </c>
      <c r="V172" s="11" t="s">
        <v>247</v>
      </c>
      <c r="W172" s="14" t="str">
        <f>IFERROR(VLOOKUP($B172,'Cost Library'!$A$2:$M$159,10,FALSE),"")</f>
        <v/>
      </c>
      <c r="X172" s="11"/>
      <c r="Y172" s="11"/>
      <c r="Z172" s="11"/>
      <c r="AA172" s="11"/>
      <c r="AB172" s="11"/>
      <c r="AC172" s="11"/>
      <c r="AD172" s="30"/>
      <c r="AE172" s="31"/>
      <c r="AF172" s="3">
        <f t="shared" si="36"/>
        <v>0</v>
      </c>
      <c r="AG172" s="31"/>
      <c r="AH172" s="31"/>
      <c r="AI172" s="3">
        <f t="shared" si="37"/>
        <v>0</v>
      </c>
      <c r="AJ172" s="31"/>
      <c r="AK172" s="31"/>
      <c r="AL172" s="3">
        <f t="shared" si="38"/>
        <v>0</v>
      </c>
      <c r="AM172" s="3">
        <f>IF($A172&lt;&gt;"Yes",0,IF($R172="Detailed Breakdown",$AF172,$S172*IFERROR(VLOOKUP($B172,'Cost Library'!$A$2:$Q$159,14,FALSE),0.4)))</f>
        <v>0</v>
      </c>
      <c r="AN172" s="3">
        <f>IF($A172&lt;&gt;"Yes",0,IF($R172="Detailed Breakdown",$AI172,$S172*IFERROR(VLOOKUP($B172,'Cost Library'!$A$2:$Q$159,15,FALSE),0.5)))</f>
        <v>0</v>
      </c>
      <c r="AO172" s="3">
        <f>IF($A172&lt;&gt;"Yes",0,IF($R172="Detailed Breakdown",$AJ172+$AK172,$S172*IFERROR(VLOOKUP($B172,'Cost Library'!$A$2:$Q$159,16,FALSE),0.1)))</f>
        <v>0</v>
      </c>
      <c r="AP172" s="3">
        <f t="shared" si="39"/>
        <v>0</v>
      </c>
      <c r="AQ172" s="32">
        <f t="shared" si="40"/>
        <v>0</v>
      </c>
      <c r="AR172" s="32">
        <f t="shared" si="41"/>
        <v>0</v>
      </c>
      <c r="AS172" s="32">
        <f t="shared" si="42"/>
        <v>0</v>
      </c>
      <c r="AT172" s="2" t="str">
        <f t="shared" si="43"/>
        <v/>
      </c>
      <c r="AU172" s="31" t="s">
        <v>116</v>
      </c>
      <c r="AV172" s="3">
        <f t="shared" si="44"/>
        <v>0</v>
      </c>
      <c r="AW172" s="3">
        <f t="shared" si="45"/>
        <v>0</v>
      </c>
      <c r="AX172" s="3">
        <f t="shared" si="46"/>
        <v>0</v>
      </c>
      <c r="AY172" s="3">
        <f t="shared" si="47"/>
        <v>0</v>
      </c>
      <c r="AZ172" s="3">
        <f t="shared" si="48"/>
        <v>0</v>
      </c>
      <c r="BA172" s="32">
        <f t="shared" si="49"/>
        <v>0</v>
      </c>
      <c r="BB172" s="2" t="str">
        <f t="shared" si="50"/>
        <v/>
      </c>
    </row>
    <row r="173" spans="1:54" ht="14.4">
      <c r="A173" s="13" t="s">
        <v>161</v>
      </c>
      <c r="B173" s="13"/>
      <c r="C173" s="14" t="str">
        <f>IFERROR(VLOOKUP($B173,'Cost Library'!$A$2:$M$159,2,FALSE),"")</f>
        <v/>
      </c>
      <c r="D173" s="14" t="str">
        <f>IFERROR(VLOOKUP($B173,'Cost Library'!$A$2:$M$159,3,FALSE),"")</f>
        <v/>
      </c>
      <c r="E173" s="13"/>
      <c r="F173" s="13"/>
      <c r="G173" s="13" t="str">
        <f>IFERROR(VLOOKUP($B173,'Cost Library'!$A$2:$M$159,5,FALSE),"")</f>
        <v/>
      </c>
      <c r="H173" s="13"/>
      <c r="I173" s="13"/>
      <c r="J173" s="13"/>
      <c r="K173" s="13"/>
      <c r="L173" s="13">
        <v>1</v>
      </c>
      <c r="M173" s="14" t="str">
        <f>IFERROR(VLOOKUP($B173,'Cost Library'!$A$2:$M$159,6,FALSE),"")</f>
        <v/>
      </c>
      <c r="N173" s="15">
        <f>IFERROR(VLOOKUP($B173,'Cost Library'!$A$2:$M$159,7,FALSE),0)</f>
        <v>0</v>
      </c>
      <c r="O173" s="15">
        <f>IFERROR(VLOOKUP($B173,'Cost Library'!$A$2:$M$159,8,FALSE),0)</f>
        <v>0</v>
      </c>
      <c r="P173" s="15">
        <f>IFERROR(VLOOKUP($B173,'Cost Library'!$A$2:$M$159,9,FALSE),0)</f>
        <v>0</v>
      </c>
      <c r="Q173" s="16"/>
      <c r="R173" s="16" t="s">
        <v>116</v>
      </c>
      <c r="S173" s="17">
        <f t="shared" si="34"/>
        <v>0</v>
      </c>
      <c r="T173" s="18">
        <f>'Project Inputs'!$C$15</f>
        <v>0.1</v>
      </c>
      <c r="U173" s="17">
        <f t="shared" si="35"/>
        <v>0</v>
      </c>
      <c r="V173" s="11" t="s">
        <v>247</v>
      </c>
      <c r="W173" s="14" t="str">
        <f>IFERROR(VLOOKUP($B173,'Cost Library'!$A$2:$M$159,10,FALSE),"")</f>
        <v/>
      </c>
      <c r="X173" s="11"/>
      <c r="Y173" s="11"/>
      <c r="Z173" s="11"/>
      <c r="AA173" s="11"/>
      <c r="AB173" s="11"/>
      <c r="AC173" s="11"/>
      <c r="AD173" s="30"/>
      <c r="AE173" s="31"/>
      <c r="AF173" s="3">
        <f t="shared" si="36"/>
        <v>0</v>
      </c>
      <c r="AG173" s="31"/>
      <c r="AH173" s="31"/>
      <c r="AI173" s="3">
        <f t="shared" si="37"/>
        <v>0</v>
      </c>
      <c r="AJ173" s="31"/>
      <c r="AK173" s="31"/>
      <c r="AL173" s="3">
        <f t="shared" si="38"/>
        <v>0</v>
      </c>
      <c r="AM173" s="3">
        <f>IF($A173&lt;&gt;"Yes",0,IF($R173="Detailed Breakdown",$AF173,$S173*IFERROR(VLOOKUP($B173,'Cost Library'!$A$2:$Q$159,14,FALSE),0.4)))</f>
        <v>0</v>
      </c>
      <c r="AN173" s="3">
        <f>IF($A173&lt;&gt;"Yes",0,IF($R173="Detailed Breakdown",$AI173,$S173*IFERROR(VLOOKUP($B173,'Cost Library'!$A$2:$Q$159,15,FALSE),0.5)))</f>
        <v>0</v>
      </c>
      <c r="AO173" s="3">
        <f>IF($A173&lt;&gt;"Yes",0,IF($R173="Detailed Breakdown",$AJ173+$AK173,$S173*IFERROR(VLOOKUP($B173,'Cost Library'!$A$2:$Q$159,16,FALSE),0.1)))</f>
        <v>0</v>
      </c>
      <c r="AP173" s="3">
        <f t="shared" si="39"/>
        <v>0</v>
      </c>
      <c r="AQ173" s="32">
        <f t="shared" si="40"/>
        <v>0</v>
      </c>
      <c r="AR173" s="32">
        <f t="shared" si="41"/>
        <v>0</v>
      </c>
      <c r="AS173" s="32">
        <f t="shared" si="42"/>
        <v>0</v>
      </c>
      <c r="AT173" s="2" t="str">
        <f t="shared" si="43"/>
        <v/>
      </c>
      <c r="AU173" s="31" t="s">
        <v>116</v>
      </c>
      <c r="AV173" s="3">
        <f t="shared" si="44"/>
        <v>0</v>
      </c>
      <c r="AW173" s="3">
        <f t="shared" si="45"/>
        <v>0</v>
      </c>
      <c r="AX173" s="3">
        <f t="shared" si="46"/>
        <v>0</v>
      </c>
      <c r="AY173" s="3">
        <f t="shared" si="47"/>
        <v>0</v>
      </c>
      <c r="AZ173" s="3">
        <f t="shared" si="48"/>
        <v>0</v>
      </c>
      <c r="BA173" s="32">
        <f t="shared" si="49"/>
        <v>0</v>
      </c>
      <c r="BB173" s="2" t="str">
        <f t="shared" si="50"/>
        <v/>
      </c>
    </row>
    <row r="174" spans="1:54" ht="14.4">
      <c r="A174" s="13" t="s">
        <v>161</v>
      </c>
      <c r="B174" s="13"/>
      <c r="C174" s="14" t="str">
        <f>IFERROR(VLOOKUP($B174,'Cost Library'!$A$2:$M$159,2,FALSE),"")</f>
        <v/>
      </c>
      <c r="D174" s="14" t="str">
        <f>IFERROR(VLOOKUP($B174,'Cost Library'!$A$2:$M$159,3,FALSE),"")</f>
        <v/>
      </c>
      <c r="E174" s="13"/>
      <c r="F174" s="13"/>
      <c r="G174" s="13" t="str">
        <f>IFERROR(VLOOKUP($B174,'Cost Library'!$A$2:$M$159,5,FALSE),"")</f>
        <v/>
      </c>
      <c r="H174" s="13"/>
      <c r="I174" s="13"/>
      <c r="J174" s="13"/>
      <c r="K174" s="13"/>
      <c r="L174" s="13">
        <v>1</v>
      </c>
      <c r="M174" s="14" t="str">
        <f>IFERROR(VLOOKUP($B174,'Cost Library'!$A$2:$M$159,6,FALSE),"")</f>
        <v/>
      </c>
      <c r="N174" s="15">
        <f>IFERROR(VLOOKUP($B174,'Cost Library'!$A$2:$M$159,7,FALSE),0)</f>
        <v>0</v>
      </c>
      <c r="O174" s="15">
        <f>IFERROR(VLOOKUP($B174,'Cost Library'!$A$2:$M$159,8,FALSE),0)</f>
        <v>0</v>
      </c>
      <c r="P174" s="15">
        <f>IFERROR(VLOOKUP($B174,'Cost Library'!$A$2:$M$159,9,FALSE),0)</f>
        <v>0</v>
      </c>
      <c r="Q174" s="16"/>
      <c r="R174" s="16" t="s">
        <v>116</v>
      </c>
      <c r="S174" s="17">
        <f t="shared" si="34"/>
        <v>0</v>
      </c>
      <c r="T174" s="18">
        <f>'Project Inputs'!$C$15</f>
        <v>0.1</v>
      </c>
      <c r="U174" s="17">
        <f t="shared" si="35"/>
        <v>0</v>
      </c>
      <c r="V174" s="11" t="s">
        <v>247</v>
      </c>
      <c r="W174" s="14" t="str">
        <f>IFERROR(VLOOKUP($B174,'Cost Library'!$A$2:$M$159,10,FALSE),"")</f>
        <v/>
      </c>
      <c r="X174" s="11"/>
      <c r="Y174" s="11"/>
      <c r="Z174" s="11"/>
      <c r="AA174" s="11"/>
      <c r="AB174" s="11"/>
      <c r="AC174" s="11"/>
      <c r="AD174" s="30"/>
      <c r="AE174" s="31"/>
      <c r="AF174" s="3">
        <f t="shared" si="36"/>
        <v>0</v>
      </c>
      <c r="AG174" s="31"/>
      <c r="AH174" s="31"/>
      <c r="AI174" s="3">
        <f t="shared" si="37"/>
        <v>0</v>
      </c>
      <c r="AJ174" s="31"/>
      <c r="AK174" s="31"/>
      <c r="AL174" s="3">
        <f t="shared" si="38"/>
        <v>0</v>
      </c>
      <c r="AM174" s="3">
        <f>IF($A174&lt;&gt;"Yes",0,IF($R174="Detailed Breakdown",$AF174,$S174*IFERROR(VLOOKUP($B174,'Cost Library'!$A$2:$Q$159,14,FALSE),0.4)))</f>
        <v>0</v>
      </c>
      <c r="AN174" s="3">
        <f>IF($A174&lt;&gt;"Yes",0,IF($R174="Detailed Breakdown",$AI174,$S174*IFERROR(VLOOKUP($B174,'Cost Library'!$A$2:$Q$159,15,FALSE),0.5)))</f>
        <v>0</v>
      </c>
      <c r="AO174" s="3">
        <f>IF($A174&lt;&gt;"Yes",0,IF($R174="Detailed Breakdown",$AJ174+$AK174,$S174*IFERROR(VLOOKUP($B174,'Cost Library'!$A$2:$Q$159,16,FALSE),0.1)))</f>
        <v>0</v>
      </c>
      <c r="AP174" s="3">
        <f t="shared" si="39"/>
        <v>0</v>
      </c>
      <c r="AQ174" s="32">
        <f t="shared" si="40"/>
        <v>0</v>
      </c>
      <c r="AR174" s="32">
        <f t="shared" si="41"/>
        <v>0</v>
      </c>
      <c r="AS174" s="32">
        <f t="shared" si="42"/>
        <v>0</v>
      </c>
      <c r="AT174" s="2" t="str">
        <f t="shared" si="43"/>
        <v/>
      </c>
      <c r="AU174" s="31" t="s">
        <v>116</v>
      </c>
      <c r="AV174" s="3">
        <f t="shared" si="44"/>
        <v>0</v>
      </c>
      <c r="AW174" s="3">
        <f t="shared" si="45"/>
        <v>0</v>
      </c>
      <c r="AX174" s="3">
        <f t="shared" si="46"/>
        <v>0</v>
      </c>
      <c r="AY174" s="3">
        <f t="shared" si="47"/>
        <v>0</v>
      </c>
      <c r="AZ174" s="3">
        <f t="shared" si="48"/>
        <v>0</v>
      </c>
      <c r="BA174" s="32">
        <f t="shared" si="49"/>
        <v>0</v>
      </c>
      <c r="BB174" s="2" t="str">
        <f t="shared" si="50"/>
        <v/>
      </c>
    </row>
    <row r="175" spans="1:54" ht="14.4">
      <c r="A175" s="13" t="s">
        <v>161</v>
      </c>
      <c r="B175" s="13"/>
      <c r="C175" s="14" t="str">
        <f>IFERROR(VLOOKUP($B175,'Cost Library'!$A$2:$M$159,2,FALSE),"")</f>
        <v/>
      </c>
      <c r="D175" s="14" t="str">
        <f>IFERROR(VLOOKUP($B175,'Cost Library'!$A$2:$M$159,3,FALSE),"")</f>
        <v/>
      </c>
      <c r="E175" s="13"/>
      <c r="F175" s="13"/>
      <c r="G175" s="13" t="str">
        <f>IFERROR(VLOOKUP($B175,'Cost Library'!$A$2:$M$159,5,FALSE),"")</f>
        <v/>
      </c>
      <c r="H175" s="13"/>
      <c r="I175" s="13"/>
      <c r="J175" s="13"/>
      <c r="K175" s="13"/>
      <c r="L175" s="13">
        <v>1</v>
      </c>
      <c r="M175" s="14" t="str">
        <f>IFERROR(VLOOKUP($B175,'Cost Library'!$A$2:$M$159,6,FALSE),"")</f>
        <v/>
      </c>
      <c r="N175" s="15">
        <f>IFERROR(VLOOKUP($B175,'Cost Library'!$A$2:$M$159,7,FALSE),0)</f>
        <v>0</v>
      </c>
      <c r="O175" s="15">
        <f>IFERROR(VLOOKUP($B175,'Cost Library'!$A$2:$M$159,8,FALSE),0)</f>
        <v>0</v>
      </c>
      <c r="P175" s="15">
        <f>IFERROR(VLOOKUP($B175,'Cost Library'!$A$2:$M$159,9,FALSE),0)</f>
        <v>0</v>
      </c>
      <c r="Q175" s="16"/>
      <c r="R175" s="16" t="s">
        <v>116</v>
      </c>
      <c r="S175" s="17">
        <f t="shared" si="34"/>
        <v>0</v>
      </c>
      <c r="T175" s="18">
        <f>'Project Inputs'!$C$15</f>
        <v>0.1</v>
      </c>
      <c r="U175" s="17">
        <f t="shared" si="35"/>
        <v>0</v>
      </c>
      <c r="V175" s="11" t="s">
        <v>247</v>
      </c>
      <c r="W175" s="14" t="str">
        <f>IFERROR(VLOOKUP($B175,'Cost Library'!$A$2:$M$159,10,FALSE),"")</f>
        <v/>
      </c>
      <c r="X175" s="11"/>
      <c r="Y175" s="11"/>
      <c r="Z175" s="11"/>
      <c r="AA175" s="11"/>
      <c r="AB175" s="11"/>
      <c r="AC175" s="11"/>
      <c r="AD175" s="30"/>
      <c r="AE175" s="31"/>
      <c r="AF175" s="3">
        <f t="shared" si="36"/>
        <v>0</v>
      </c>
      <c r="AG175" s="31"/>
      <c r="AH175" s="31"/>
      <c r="AI175" s="3">
        <f t="shared" si="37"/>
        <v>0</v>
      </c>
      <c r="AJ175" s="31"/>
      <c r="AK175" s="31"/>
      <c r="AL175" s="3">
        <f t="shared" si="38"/>
        <v>0</v>
      </c>
      <c r="AM175" s="3">
        <f>IF($A175&lt;&gt;"Yes",0,IF($R175="Detailed Breakdown",$AF175,$S175*IFERROR(VLOOKUP($B175,'Cost Library'!$A$2:$Q$159,14,FALSE),0.4)))</f>
        <v>0</v>
      </c>
      <c r="AN175" s="3">
        <f>IF($A175&lt;&gt;"Yes",0,IF($R175="Detailed Breakdown",$AI175,$S175*IFERROR(VLOOKUP($B175,'Cost Library'!$A$2:$Q$159,15,FALSE),0.5)))</f>
        <v>0</v>
      </c>
      <c r="AO175" s="3">
        <f>IF($A175&lt;&gt;"Yes",0,IF($R175="Detailed Breakdown",$AJ175+$AK175,$S175*IFERROR(VLOOKUP($B175,'Cost Library'!$A$2:$Q$159,16,FALSE),0.1)))</f>
        <v>0</v>
      </c>
      <c r="AP175" s="3">
        <f t="shared" si="39"/>
        <v>0</v>
      </c>
      <c r="AQ175" s="32">
        <f t="shared" si="40"/>
        <v>0</v>
      </c>
      <c r="AR175" s="32">
        <f t="shared" si="41"/>
        <v>0</v>
      </c>
      <c r="AS175" s="32">
        <f t="shared" si="42"/>
        <v>0</v>
      </c>
      <c r="AT175" s="2" t="str">
        <f t="shared" si="43"/>
        <v/>
      </c>
      <c r="AU175" s="31" t="s">
        <v>116</v>
      </c>
      <c r="AV175" s="3">
        <f t="shared" si="44"/>
        <v>0</v>
      </c>
      <c r="AW175" s="3">
        <f t="shared" si="45"/>
        <v>0</v>
      </c>
      <c r="AX175" s="3">
        <f t="shared" si="46"/>
        <v>0</v>
      </c>
      <c r="AY175" s="3">
        <f t="shared" si="47"/>
        <v>0</v>
      </c>
      <c r="AZ175" s="3">
        <f t="shared" si="48"/>
        <v>0</v>
      </c>
      <c r="BA175" s="32">
        <f t="shared" si="49"/>
        <v>0</v>
      </c>
      <c r="BB175" s="2" t="str">
        <f t="shared" si="50"/>
        <v/>
      </c>
    </row>
    <row r="176" spans="1:54" ht="14.4">
      <c r="A176" s="13" t="s">
        <v>161</v>
      </c>
      <c r="B176" s="13"/>
      <c r="C176" s="14" t="str">
        <f>IFERROR(VLOOKUP($B176,'Cost Library'!$A$2:$M$159,2,FALSE),"")</f>
        <v/>
      </c>
      <c r="D176" s="14" t="str">
        <f>IFERROR(VLOOKUP($B176,'Cost Library'!$A$2:$M$159,3,FALSE),"")</f>
        <v/>
      </c>
      <c r="E176" s="13"/>
      <c r="F176" s="13"/>
      <c r="G176" s="13" t="str">
        <f>IFERROR(VLOOKUP($B176,'Cost Library'!$A$2:$M$159,5,FALSE),"")</f>
        <v/>
      </c>
      <c r="H176" s="13"/>
      <c r="I176" s="13"/>
      <c r="J176" s="13"/>
      <c r="K176" s="13"/>
      <c r="L176" s="13">
        <v>1</v>
      </c>
      <c r="M176" s="14" t="str">
        <f>IFERROR(VLOOKUP($B176,'Cost Library'!$A$2:$M$159,6,FALSE),"")</f>
        <v/>
      </c>
      <c r="N176" s="15">
        <f>IFERROR(VLOOKUP($B176,'Cost Library'!$A$2:$M$159,7,FALSE),0)</f>
        <v>0</v>
      </c>
      <c r="O176" s="15">
        <f>IFERROR(VLOOKUP($B176,'Cost Library'!$A$2:$M$159,8,FALSE),0)</f>
        <v>0</v>
      </c>
      <c r="P176" s="15">
        <f>IFERROR(VLOOKUP($B176,'Cost Library'!$A$2:$M$159,9,FALSE),0)</f>
        <v>0</v>
      </c>
      <c r="Q176" s="16"/>
      <c r="R176" s="16" t="s">
        <v>116</v>
      </c>
      <c r="S176" s="17">
        <f t="shared" si="34"/>
        <v>0</v>
      </c>
      <c r="T176" s="18">
        <f>'Project Inputs'!$C$15</f>
        <v>0.1</v>
      </c>
      <c r="U176" s="17">
        <f t="shared" si="35"/>
        <v>0</v>
      </c>
      <c r="V176" s="11" t="s">
        <v>247</v>
      </c>
      <c r="W176" s="14" t="str">
        <f>IFERROR(VLOOKUP($B176,'Cost Library'!$A$2:$M$159,10,FALSE),"")</f>
        <v/>
      </c>
      <c r="X176" s="11"/>
      <c r="Y176" s="11"/>
      <c r="Z176" s="11"/>
      <c r="AA176" s="11"/>
      <c r="AB176" s="11"/>
      <c r="AC176" s="11"/>
      <c r="AD176" s="30"/>
      <c r="AE176" s="31"/>
      <c r="AF176" s="3">
        <f t="shared" si="36"/>
        <v>0</v>
      </c>
      <c r="AG176" s="31"/>
      <c r="AH176" s="31"/>
      <c r="AI176" s="3">
        <f t="shared" si="37"/>
        <v>0</v>
      </c>
      <c r="AJ176" s="31"/>
      <c r="AK176" s="31"/>
      <c r="AL176" s="3">
        <f t="shared" si="38"/>
        <v>0</v>
      </c>
      <c r="AM176" s="3">
        <f>IF($A176&lt;&gt;"Yes",0,IF($R176="Detailed Breakdown",$AF176,$S176*IFERROR(VLOOKUP($B176,'Cost Library'!$A$2:$Q$159,14,FALSE),0.4)))</f>
        <v>0</v>
      </c>
      <c r="AN176" s="3">
        <f>IF($A176&lt;&gt;"Yes",0,IF($R176="Detailed Breakdown",$AI176,$S176*IFERROR(VLOOKUP($B176,'Cost Library'!$A$2:$Q$159,15,FALSE),0.5)))</f>
        <v>0</v>
      </c>
      <c r="AO176" s="3">
        <f>IF($A176&lt;&gt;"Yes",0,IF($R176="Detailed Breakdown",$AJ176+$AK176,$S176*IFERROR(VLOOKUP($B176,'Cost Library'!$A$2:$Q$159,16,FALSE),0.1)))</f>
        <v>0</v>
      </c>
      <c r="AP176" s="3">
        <f t="shared" si="39"/>
        <v>0</v>
      </c>
      <c r="AQ176" s="32">
        <f t="shared" si="40"/>
        <v>0</v>
      </c>
      <c r="AR176" s="32">
        <f t="shared" si="41"/>
        <v>0</v>
      </c>
      <c r="AS176" s="32">
        <f t="shared" si="42"/>
        <v>0</v>
      </c>
      <c r="AT176" s="2" t="str">
        <f t="shared" si="43"/>
        <v/>
      </c>
      <c r="AU176" s="31" t="s">
        <v>116</v>
      </c>
      <c r="AV176" s="3">
        <f t="shared" si="44"/>
        <v>0</v>
      </c>
      <c r="AW176" s="3">
        <f t="shared" si="45"/>
        <v>0</v>
      </c>
      <c r="AX176" s="3">
        <f t="shared" si="46"/>
        <v>0</v>
      </c>
      <c r="AY176" s="3">
        <f t="shared" si="47"/>
        <v>0</v>
      </c>
      <c r="AZ176" s="3">
        <f t="shared" si="48"/>
        <v>0</v>
      </c>
      <c r="BA176" s="32">
        <f t="shared" si="49"/>
        <v>0</v>
      </c>
      <c r="BB176" s="2" t="str">
        <f t="shared" si="50"/>
        <v/>
      </c>
    </row>
    <row r="177" spans="1:54" ht="14.4">
      <c r="A177" s="13" t="s">
        <v>161</v>
      </c>
      <c r="B177" s="13"/>
      <c r="C177" s="14" t="str">
        <f>IFERROR(VLOOKUP($B177,'Cost Library'!$A$2:$M$159,2,FALSE),"")</f>
        <v/>
      </c>
      <c r="D177" s="14" t="str">
        <f>IFERROR(VLOOKUP($B177,'Cost Library'!$A$2:$M$159,3,FALSE),"")</f>
        <v/>
      </c>
      <c r="E177" s="13"/>
      <c r="F177" s="13"/>
      <c r="G177" s="13" t="str">
        <f>IFERROR(VLOOKUP($B177,'Cost Library'!$A$2:$M$159,5,FALSE),"")</f>
        <v/>
      </c>
      <c r="H177" s="13"/>
      <c r="I177" s="13"/>
      <c r="J177" s="13"/>
      <c r="K177" s="13"/>
      <c r="L177" s="13">
        <v>1</v>
      </c>
      <c r="M177" s="14" t="str">
        <f>IFERROR(VLOOKUP($B177,'Cost Library'!$A$2:$M$159,6,FALSE),"")</f>
        <v/>
      </c>
      <c r="N177" s="15">
        <f>IFERROR(VLOOKUP($B177,'Cost Library'!$A$2:$M$159,7,FALSE),0)</f>
        <v>0</v>
      </c>
      <c r="O177" s="15">
        <f>IFERROR(VLOOKUP($B177,'Cost Library'!$A$2:$M$159,8,FALSE),0)</f>
        <v>0</v>
      </c>
      <c r="P177" s="15">
        <f>IFERROR(VLOOKUP($B177,'Cost Library'!$A$2:$M$159,9,FALSE),0)</f>
        <v>0</v>
      </c>
      <c r="Q177" s="16"/>
      <c r="R177" s="16" t="s">
        <v>116</v>
      </c>
      <c r="S177" s="17">
        <f t="shared" si="34"/>
        <v>0</v>
      </c>
      <c r="T177" s="18">
        <f>'Project Inputs'!$C$15</f>
        <v>0.1</v>
      </c>
      <c r="U177" s="17">
        <f t="shared" si="35"/>
        <v>0</v>
      </c>
      <c r="V177" s="11" t="s">
        <v>247</v>
      </c>
      <c r="W177" s="14" t="str">
        <f>IFERROR(VLOOKUP($B177,'Cost Library'!$A$2:$M$159,10,FALSE),"")</f>
        <v/>
      </c>
      <c r="X177" s="11"/>
      <c r="Y177" s="11"/>
      <c r="Z177" s="11"/>
      <c r="AA177" s="11"/>
      <c r="AB177" s="11"/>
      <c r="AC177" s="11"/>
      <c r="AD177" s="30"/>
      <c r="AE177" s="31"/>
      <c r="AF177" s="3">
        <f t="shared" si="36"/>
        <v>0</v>
      </c>
      <c r="AG177" s="31"/>
      <c r="AH177" s="31"/>
      <c r="AI177" s="3">
        <f t="shared" si="37"/>
        <v>0</v>
      </c>
      <c r="AJ177" s="31"/>
      <c r="AK177" s="31"/>
      <c r="AL177" s="3">
        <f t="shared" si="38"/>
        <v>0</v>
      </c>
      <c r="AM177" s="3">
        <f>IF($A177&lt;&gt;"Yes",0,IF($R177="Detailed Breakdown",$AF177,$S177*IFERROR(VLOOKUP($B177,'Cost Library'!$A$2:$Q$159,14,FALSE),0.4)))</f>
        <v>0</v>
      </c>
      <c r="AN177" s="3">
        <f>IF($A177&lt;&gt;"Yes",0,IF($R177="Detailed Breakdown",$AI177,$S177*IFERROR(VLOOKUP($B177,'Cost Library'!$A$2:$Q$159,15,FALSE),0.5)))</f>
        <v>0</v>
      </c>
      <c r="AO177" s="3">
        <f>IF($A177&lt;&gt;"Yes",0,IF($R177="Detailed Breakdown",$AJ177+$AK177,$S177*IFERROR(VLOOKUP($B177,'Cost Library'!$A$2:$Q$159,16,FALSE),0.1)))</f>
        <v>0</v>
      </c>
      <c r="AP177" s="3">
        <f t="shared" si="39"/>
        <v>0</v>
      </c>
      <c r="AQ177" s="32">
        <f t="shared" si="40"/>
        <v>0</v>
      </c>
      <c r="AR177" s="32">
        <f t="shared" si="41"/>
        <v>0</v>
      </c>
      <c r="AS177" s="32">
        <f t="shared" si="42"/>
        <v>0</v>
      </c>
      <c r="AT177" s="2" t="str">
        <f t="shared" si="43"/>
        <v/>
      </c>
      <c r="AU177" s="31" t="s">
        <v>116</v>
      </c>
      <c r="AV177" s="3">
        <f t="shared" si="44"/>
        <v>0</v>
      </c>
      <c r="AW177" s="3">
        <f t="shared" si="45"/>
        <v>0</v>
      </c>
      <c r="AX177" s="3">
        <f t="shared" si="46"/>
        <v>0</v>
      </c>
      <c r="AY177" s="3">
        <f t="shared" si="47"/>
        <v>0</v>
      </c>
      <c r="AZ177" s="3">
        <f t="shared" si="48"/>
        <v>0</v>
      </c>
      <c r="BA177" s="32">
        <f t="shared" si="49"/>
        <v>0</v>
      </c>
      <c r="BB177" s="2" t="str">
        <f t="shared" si="50"/>
        <v/>
      </c>
    </row>
    <row r="178" spans="1:54" ht="14.4">
      <c r="A178" s="13" t="s">
        <v>161</v>
      </c>
      <c r="B178" s="13"/>
      <c r="C178" s="14" t="str">
        <f>IFERROR(VLOOKUP($B178,'Cost Library'!$A$2:$M$159,2,FALSE),"")</f>
        <v/>
      </c>
      <c r="D178" s="14" t="str">
        <f>IFERROR(VLOOKUP($B178,'Cost Library'!$A$2:$M$159,3,FALSE),"")</f>
        <v/>
      </c>
      <c r="E178" s="13"/>
      <c r="F178" s="13"/>
      <c r="G178" s="13" t="str">
        <f>IFERROR(VLOOKUP($B178,'Cost Library'!$A$2:$M$159,5,FALSE),"")</f>
        <v/>
      </c>
      <c r="H178" s="13"/>
      <c r="I178" s="13"/>
      <c r="J178" s="13"/>
      <c r="K178" s="13"/>
      <c r="L178" s="13">
        <v>1</v>
      </c>
      <c r="M178" s="14" t="str">
        <f>IFERROR(VLOOKUP($B178,'Cost Library'!$A$2:$M$159,6,FALSE),"")</f>
        <v/>
      </c>
      <c r="N178" s="15">
        <f>IFERROR(VLOOKUP($B178,'Cost Library'!$A$2:$M$159,7,FALSE),0)</f>
        <v>0</v>
      </c>
      <c r="O178" s="15">
        <f>IFERROR(VLOOKUP($B178,'Cost Library'!$A$2:$M$159,8,FALSE),0)</f>
        <v>0</v>
      </c>
      <c r="P178" s="15">
        <f>IFERROR(VLOOKUP($B178,'Cost Library'!$A$2:$M$159,9,FALSE),0)</f>
        <v>0</v>
      </c>
      <c r="Q178" s="16"/>
      <c r="R178" s="16" t="s">
        <v>116</v>
      </c>
      <c r="S178" s="17">
        <f t="shared" si="34"/>
        <v>0</v>
      </c>
      <c r="T178" s="18">
        <f>'Project Inputs'!$C$15</f>
        <v>0.1</v>
      </c>
      <c r="U178" s="17">
        <f t="shared" si="35"/>
        <v>0</v>
      </c>
      <c r="V178" s="11" t="s">
        <v>247</v>
      </c>
      <c r="W178" s="14" t="str">
        <f>IFERROR(VLOOKUP($B178,'Cost Library'!$A$2:$M$159,10,FALSE),"")</f>
        <v/>
      </c>
      <c r="X178" s="11"/>
      <c r="Y178" s="11"/>
      <c r="Z178" s="11"/>
      <c r="AA178" s="11"/>
      <c r="AB178" s="11"/>
      <c r="AC178" s="11"/>
      <c r="AD178" s="30"/>
      <c r="AE178" s="31"/>
      <c r="AF178" s="3">
        <f t="shared" si="36"/>
        <v>0</v>
      </c>
      <c r="AG178" s="31"/>
      <c r="AH178" s="31"/>
      <c r="AI178" s="3">
        <f t="shared" si="37"/>
        <v>0</v>
      </c>
      <c r="AJ178" s="31"/>
      <c r="AK178" s="31"/>
      <c r="AL178" s="3">
        <f t="shared" si="38"/>
        <v>0</v>
      </c>
      <c r="AM178" s="3">
        <f>IF($A178&lt;&gt;"Yes",0,IF($R178="Detailed Breakdown",$AF178,$S178*IFERROR(VLOOKUP($B178,'Cost Library'!$A$2:$Q$159,14,FALSE),0.4)))</f>
        <v>0</v>
      </c>
      <c r="AN178" s="3">
        <f>IF($A178&lt;&gt;"Yes",0,IF($R178="Detailed Breakdown",$AI178,$S178*IFERROR(VLOOKUP($B178,'Cost Library'!$A$2:$Q$159,15,FALSE),0.5)))</f>
        <v>0</v>
      </c>
      <c r="AO178" s="3">
        <f>IF($A178&lt;&gt;"Yes",0,IF($R178="Detailed Breakdown",$AJ178+$AK178,$S178*IFERROR(VLOOKUP($B178,'Cost Library'!$A$2:$Q$159,16,FALSE),0.1)))</f>
        <v>0</v>
      </c>
      <c r="AP178" s="3">
        <f t="shared" si="39"/>
        <v>0</v>
      </c>
      <c r="AQ178" s="32">
        <f t="shared" si="40"/>
        <v>0</v>
      </c>
      <c r="AR178" s="32">
        <f t="shared" si="41"/>
        <v>0</v>
      </c>
      <c r="AS178" s="32">
        <f t="shared" si="42"/>
        <v>0</v>
      </c>
      <c r="AT178" s="2" t="str">
        <f t="shared" si="43"/>
        <v/>
      </c>
      <c r="AU178" s="31" t="s">
        <v>116</v>
      </c>
      <c r="AV178" s="3">
        <f t="shared" si="44"/>
        <v>0</v>
      </c>
      <c r="AW178" s="3">
        <f t="shared" si="45"/>
        <v>0</v>
      </c>
      <c r="AX178" s="3">
        <f t="shared" si="46"/>
        <v>0</v>
      </c>
      <c r="AY178" s="3">
        <f t="shared" si="47"/>
        <v>0</v>
      </c>
      <c r="AZ178" s="3">
        <f t="shared" si="48"/>
        <v>0</v>
      </c>
      <c r="BA178" s="32">
        <f t="shared" si="49"/>
        <v>0</v>
      </c>
      <c r="BB178" s="2" t="str">
        <f t="shared" si="50"/>
        <v/>
      </c>
    </row>
    <row r="179" spans="1:54" ht="14.4">
      <c r="A179" s="13" t="s">
        <v>161</v>
      </c>
      <c r="B179" s="13"/>
      <c r="C179" s="14" t="str">
        <f>IFERROR(VLOOKUP($B179,'Cost Library'!$A$2:$M$159,2,FALSE),"")</f>
        <v/>
      </c>
      <c r="D179" s="14" t="str">
        <f>IFERROR(VLOOKUP($B179,'Cost Library'!$A$2:$M$159,3,FALSE),"")</f>
        <v/>
      </c>
      <c r="E179" s="13"/>
      <c r="F179" s="13"/>
      <c r="G179" s="13" t="str">
        <f>IFERROR(VLOOKUP($B179,'Cost Library'!$A$2:$M$159,5,FALSE),"")</f>
        <v/>
      </c>
      <c r="H179" s="13"/>
      <c r="I179" s="13"/>
      <c r="J179" s="13"/>
      <c r="K179" s="13"/>
      <c r="L179" s="13">
        <v>1</v>
      </c>
      <c r="M179" s="14" t="str">
        <f>IFERROR(VLOOKUP($B179,'Cost Library'!$A$2:$M$159,6,FALSE),"")</f>
        <v/>
      </c>
      <c r="N179" s="15">
        <f>IFERROR(VLOOKUP($B179,'Cost Library'!$A$2:$M$159,7,FALSE),0)</f>
        <v>0</v>
      </c>
      <c r="O179" s="15">
        <f>IFERROR(VLOOKUP($B179,'Cost Library'!$A$2:$M$159,8,FALSE),0)</f>
        <v>0</v>
      </c>
      <c r="P179" s="15">
        <f>IFERROR(VLOOKUP($B179,'Cost Library'!$A$2:$M$159,9,FALSE),0)</f>
        <v>0</v>
      </c>
      <c r="Q179" s="16"/>
      <c r="R179" s="16" t="s">
        <v>116</v>
      </c>
      <c r="S179" s="17">
        <f t="shared" si="34"/>
        <v>0</v>
      </c>
      <c r="T179" s="18">
        <f>'Project Inputs'!$C$15</f>
        <v>0.1</v>
      </c>
      <c r="U179" s="17">
        <f t="shared" si="35"/>
        <v>0</v>
      </c>
      <c r="V179" s="11" t="s">
        <v>247</v>
      </c>
      <c r="W179" s="14" t="str">
        <f>IFERROR(VLOOKUP($B179,'Cost Library'!$A$2:$M$159,10,FALSE),"")</f>
        <v/>
      </c>
      <c r="X179" s="11"/>
      <c r="Y179" s="11"/>
      <c r="Z179" s="11"/>
      <c r="AA179" s="11"/>
      <c r="AB179" s="11"/>
      <c r="AC179" s="11"/>
      <c r="AD179" s="30"/>
      <c r="AE179" s="31"/>
      <c r="AF179" s="3">
        <f t="shared" si="36"/>
        <v>0</v>
      </c>
      <c r="AG179" s="31"/>
      <c r="AH179" s="31"/>
      <c r="AI179" s="3">
        <f t="shared" si="37"/>
        <v>0</v>
      </c>
      <c r="AJ179" s="31"/>
      <c r="AK179" s="31"/>
      <c r="AL179" s="3">
        <f t="shared" si="38"/>
        <v>0</v>
      </c>
      <c r="AM179" s="3">
        <f>IF($A179&lt;&gt;"Yes",0,IF($R179="Detailed Breakdown",$AF179,$S179*IFERROR(VLOOKUP($B179,'Cost Library'!$A$2:$Q$159,14,FALSE),0.4)))</f>
        <v>0</v>
      </c>
      <c r="AN179" s="3">
        <f>IF($A179&lt;&gt;"Yes",0,IF($R179="Detailed Breakdown",$AI179,$S179*IFERROR(VLOOKUP($B179,'Cost Library'!$A$2:$Q$159,15,FALSE),0.5)))</f>
        <v>0</v>
      </c>
      <c r="AO179" s="3">
        <f>IF($A179&lt;&gt;"Yes",0,IF($R179="Detailed Breakdown",$AJ179+$AK179,$S179*IFERROR(VLOOKUP($B179,'Cost Library'!$A$2:$Q$159,16,FALSE),0.1)))</f>
        <v>0</v>
      </c>
      <c r="AP179" s="3">
        <f t="shared" si="39"/>
        <v>0</v>
      </c>
      <c r="AQ179" s="32">
        <f t="shared" si="40"/>
        <v>0</v>
      </c>
      <c r="AR179" s="32">
        <f t="shared" si="41"/>
        <v>0</v>
      </c>
      <c r="AS179" s="32">
        <f t="shared" si="42"/>
        <v>0</v>
      </c>
      <c r="AT179" s="2" t="str">
        <f t="shared" si="43"/>
        <v/>
      </c>
      <c r="AU179" s="31" t="s">
        <v>116</v>
      </c>
      <c r="AV179" s="3">
        <f t="shared" si="44"/>
        <v>0</v>
      </c>
      <c r="AW179" s="3">
        <f t="shared" si="45"/>
        <v>0</v>
      </c>
      <c r="AX179" s="3">
        <f t="shared" si="46"/>
        <v>0</v>
      </c>
      <c r="AY179" s="3">
        <f t="shared" si="47"/>
        <v>0</v>
      </c>
      <c r="AZ179" s="3">
        <f t="shared" si="48"/>
        <v>0</v>
      </c>
      <c r="BA179" s="32">
        <f t="shared" si="49"/>
        <v>0</v>
      </c>
      <c r="BB179" s="2" t="str">
        <f t="shared" si="50"/>
        <v/>
      </c>
    </row>
    <row r="180" spans="1:54" ht="14.4">
      <c r="A180" s="13" t="s">
        <v>161</v>
      </c>
      <c r="B180" s="13"/>
      <c r="C180" s="14" t="str">
        <f>IFERROR(VLOOKUP($B180,'Cost Library'!$A$2:$M$159,2,FALSE),"")</f>
        <v/>
      </c>
      <c r="D180" s="14" t="str">
        <f>IFERROR(VLOOKUP($B180,'Cost Library'!$A$2:$M$159,3,FALSE),"")</f>
        <v/>
      </c>
      <c r="E180" s="13"/>
      <c r="F180" s="13"/>
      <c r="G180" s="13" t="str">
        <f>IFERROR(VLOOKUP($B180,'Cost Library'!$A$2:$M$159,5,FALSE),"")</f>
        <v/>
      </c>
      <c r="H180" s="13"/>
      <c r="I180" s="13"/>
      <c r="J180" s="13"/>
      <c r="K180" s="13"/>
      <c r="L180" s="13">
        <v>1</v>
      </c>
      <c r="M180" s="14" t="str">
        <f>IFERROR(VLOOKUP($B180,'Cost Library'!$A$2:$M$159,6,FALSE),"")</f>
        <v/>
      </c>
      <c r="N180" s="15">
        <f>IFERROR(VLOOKUP($B180,'Cost Library'!$A$2:$M$159,7,FALSE),0)</f>
        <v>0</v>
      </c>
      <c r="O180" s="15">
        <f>IFERROR(VLOOKUP($B180,'Cost Library'!$A$2:$M$159,8,FALSE),0)</f>
        <v>0</v>
      </c>
      <c r="P180" s="15">
        <f>IFERROR(VLOOKUP($B180,'Cost Library'!$A$2:$M$159,9,FALSE),0)</f>
        <v>0</v>
      </c>
      <c r="Q180" s="16"/>
      <c r="R180" s="16" t="s">
        <v>116</v>
      </c>
      <c r="S180" s="17">
        <f t="shared" si="34"/>
        <v>0</v>
      </c>
      <c r="T180" s="18">
        <f>'Project Inputs'!$C$15</f>
        <v>0.1</v>
      </c>
      <c r="U180" s="17">
        <f t="shared" si="35"/>
        <v>0</v>
      </c>
      <c r="V180" s="11" t="s">
        <v>247</v>
      </c>
      <c r="W180" s="14" t="str">
        <f>IFERROR(VLOOKUP($B180,'Cost Library'!$A$2:$M$159,10,FALSE),"")</f>
        <v/>
      </c>
      <c r="X180" s="11"/>
      <c r="Y180" s="11"/>
      <c r="Z180" s="11"/>
      <c r="AA180" s="11"/>
      <c r="AB180" s="11"/>
      <c r="AC180" s="11"/>
      <c r="AD180" s="30"/>
      <c r="AE180" s="31"/>
      <c r="AF180" s="3">
        <f t="shared" si="36"/>
        <v>0</v>
      </c>
      <c r="AG180" s="31"/>
      <c r="AH180" s="31"/>
      <c r="AI180" s="3">
        <f t="shared" si="37"/>
        <v>0</v>
      </c>
      <c r="AJ180" s="31"/>
      <c r="AK180" s="31"/>
      <c r="AL180" s="3">
        <f t="shared" si="38"/>
        <v>0</v>
      </c>
      <c r="AM180" s="3">
        <f>IF($A180&lt;&gt;"Yes",0,IF($R180="Detailed Breakdown",$AF180,$S180*IFERROR(VLOOKUP($B180,'Cost Library'!$A$2:$Q$159,14,FALSE),0.4)))</f>
        <v>0</v>
      </c>
      <c r="AN180" s="3">
        <f>IF($A180&lt;&gt;"Yes",0,IF($R180="Detailed Breakdown",$AI180,$S180*IFERROR(VLOOKUP($B180,'Cost Library'!$A$2:$Q$159,15,FALSE),0.5)))</f>
        <v>0</v>
      </c>
      <c r="AO180" s="3">
        <f>IF($A180&lt;&gt;"Yes",0,IF($R180="Detailed Breakdown",$AJ180+$AK180,$S180*IFERROR(VLOOKUP($B180,'Cost Library'!$A$2:$Q$159,16,FALSE),0.1)))</f>
        <v>0</v>
      </c>
      <c r="AP180" s="3">
        <f t="shared" si="39"/>
        <v>0</v>
      </c>
      <c r="AQ180" s="32">
        <f t="shared" si="40"/>
        <v>0</v>
      </c>
      <c r="AR180" s="32">
        <f t="shared" si="41"/>
        <v>0</v>
      </c>
      <c r="AS180" s="32">
        <f t="shared" si="42"/>
        <v>0</v>
      </c>
      <c r="AT180" s="2" t="str">
        <f t="shared" si="43"/>
        <v/>
      </c>
      <c r="AU180" s="31" t="s">
        <v>116</v>
      </c>
      <c r="AV180" s="3">
        <f t="shared" si="44"/>
        <v>0</v>
      </c>
      <c r="AW180" s="3">
        <f t="shared" si="45"/>
        <v>0</v>
      </c>
      <c r="AX180" s="3">
        <f t="shared" si="46"/>
        <v>0</v>
      </c>
      <c r="AY180" s="3">
        <f t="shared" si="47"/>
        <v>0</v>
      </c>
      <c r="AZ180" s="3">
        <f t="shared" si="48"/>
        <v>0</v>
      </c>
      <c r="BA180" s="32">
        <f t="shared" si="49"/>
        <v>0</v>
      </c>
      <c r="BB180" s="2" t="str">
        <f t="shared" si="50"/>
        <v/>
      </c>
    </row>
    <row r="181" spans="1:54" ht="14.4">
      <c r="A181" s="13" t="s">
        <v>161</v>
      </c>
      <c r="B181" s="13"/>
      <c r="C181" s="14" t="str">
        <f>IFERROR(VLOOKUP($B181,'Cost Library'!$A$2:$M$159,2,FALSE),"")</f>
        <v/>
      </c>
      <c r="D181" s="14" t="str">
        <f>IFERROR(VLOOKUP($B181,'Cost Library'!$A$2:$M$159,3,FALSE),"")</f>
        <v/>
      </c>
      <c r="E181" s="13"/>
      <c r="F181" s="13"/>
      <c r="G181" s="13" t="str">
        <f>IFERROR(VLOOKUP($B181,'Cost Library'!$A$2:$M$159,5,FALSE),"")</f>
        <v/>
      </c>
      <c r="H181" s="13"/>
      <c r="I181" s="13"/>
      <c r="J181" s="13"/>
      <c r="K181" s="13"/>
      <c r="L181" s="13">
        <v>1</v>
      </c>
      <c r="M181" s="14" t="str">
        <f>IFERROR(VLOOKUP($B181,'Cost Library'!$A$2:$M$159,6,FALSE),"")</f>
        <v/>
      </c>
      <c r="N181" s="15">
        <f>IFERROR(VLOOKUP($B181,'Cost Library'!$A$2:$M$159,7,FALSE),0)</f>
        <v>0</v>
      </c>
      <c r="O181" s="15">
        <f>IFERROR(VLOOKUP($B181,'Cost Library'!$A$2:$M$159,8,FALSE),0)</f>
        <v>0</v>
      </c>
      <c r="P181" s="15">
        <f>IFERROR(VLOOKUP($B181,'Cost Library'!$A$2:$M$159,9,FALSE),0)</f>
        <v>0</v>
      </c>
      <c r="Q181" s="16"/>
      <c r="R181" s="16" t="s">
        <v>116</v>
      </c>
      <c r="S181" s="17">
        <f t="shared" si="34"/>
        <v>0</v>
      </c>
      <c r="T181" s="18">
        <f>'Project Inputs'!$C$15</f>
        <v>0.1</v>
      </c>
      <c r="U181" s="17">
        <f t="shared" si="35"/>
        <v>0</v>
      </c>
      <c r="V181" s="11" t="s">
        <v>247</v>
      </c>
      <c r="W181" s="14" t="str">
        <f>IFERROR(VLOOKUP($B181,'Cost Library'!$A$2:$M$159,10,FALSE),"")</f>
        <v/>
      </c>
      <c r="X181" s="11"/>
      <c r="Y181" s="11"/>
      <c r="Z181" s="11"/>
      <c r="AA181" s="11"/>
      <c r="AB181" s="11"/>
      <c r="AC181" s="11"/>
      <c r="AD181" s="30"/>
      <c r="AE181" s="31"/>
      <c r="AF181" s="3">
        <f t="shared" si="36"/>
        <v>0</v>
      </c>
      <c r="AG181" s="31"/>
      <c r="AH181" s="31"/>
      <c r="AI181" s="3">
        <f t="shared" si="37"/>
        <v>0</v>
      </c>
      <c r="AJ181" s="31"/>
      <c r="AK181" s="31"/>
      <c r="AL181" s="3">
        <f t="shared" si="38"/>
        <v>0</v>
      </c>
      <c r="AM181" s="3">
        <f>IF($A181&lt;&gt;"Yes",0,IF($R181="Detailed Breakdown",$AF181,$S181*IFERROR(VLOOKUP($B181,'Cost Library'!$A$2:$Q$159,14,FALSE),0.4)))</f>
        <v>0</v>
      </c>
      <c r="AN181" s="3">
        <f>IF($A181&lt;&gt;"Yes",0,IF($R181="Detailed Breakdown",$AI181,$S181*IFERROR(VLOOKUP($B181,'Cost Library'!$A$2:$Q$159,15,FALSE),0.5)))</f>
        <v>0</v>
      </c>
      <c r="AO181" s="3">
        <f>IF($A181&lt;&gt;"Yes",0,IF($R181="Detailed Breakdown",$AJ181+$AK181,$S181*IFERROR(VLOOKUP($B181,'Cost Library'!$A$2:$Q$159,16,FALSE),0.1)))</f>
        <v>0</v>
      </c>
      <c r="AP181" s="3">
        <f t="shared" si="39"/>
        <v>0</v>
      </c>
      <c r="AQ181" s="32">
        <f t="shared" si="40"/>
        <v>0</v>
      </c>
      <c r="AR181" s="32">
        <f t="shared" si="41"/>
        <v>0</v>
      </c>
      <c r="AS181" s="32">
        <f t="shared" si="42"/>
        <v>0</v>
      </c>
      <c r="AT181" s="2" t="str">
        <f t="shared" si="43"/>
        <v/>
      </c>
      <c r="AU181" s="31" t="s">
        <v>116</v>
      </c>
      <c r="AV181" s="3">
        <f t="shared" si="44"/>
        <v>0</v>
      </c>
      <c r="AW181" s="3">
        <f t="shared" si="45"/>
        <v>0</v>
      </c>
      <c r="AX181" s="3">
        <f t="shared" si="46"/>
        <v>0</v>
      </c>
      <c r="AY181" s="3">
        <f t="shared" si="47"/>
        <v>0</v>
      </c>
      <c r="AZ181" s="3">
        <f t="shared" si="48"/>
        <v>0</v>
      </c>
      <c r="BA181" s="32">
        <f t="shared" si="49"/>
        <v>0</v>
      </c>
      <c r="BB181" s="2" t="str">
        <f t="shared" si="50"/>
        <v/>
      </c>
    </row>
    <row r="182" spans="1:54" ht="14.4">
      <c r="A182" s="13" t="s">
        <v>161</v>
      </c>
      <c r="B182" s="13"/>
      <c r="C182" s="14" t="str">
        <f>IFERROR(VLOOKUP($B182,'Cost Library'!$A$2:$M$159,2,FALSE),"")</f>
        <v/>
      </c>
      <c r="D182" s="14" t="str">
        <f>IFERROR(VLOOKUP($B182,'Cost Library'!$A$2:$M$159,3,FALSE),"")</f>
        <v/>
      </c>
      <c r="E182" s="13"/>
      <c r="F182" s="13"/>
      <c r="G182" s="13" t="str">
        <f>IFERROR(VLOOKUP($B182,'Cost Library'!$A$2:$M$159,5,FALSE),"")</f>
        <v/>
      </c>
      <c r="H182" s="13"/>
      <c r="I182" s="13"/>
      <c r="J182" s="13"/>
      <c r="K182" s="13"/>
      <c r="L182" s="13">
        <v>1</v>
      </c>
      <c r="M182" s="14" t="str">
        <f>IFERROR(VLOOKUP($B182,'Cost Library'!$A$2:$M$159,6,FALSE),"")</f>
        <v/>
      </c>
      <c r="N182" s="15">
        <f>IFERROR(VLOOKUP($B182,'Cost Library'!$A$2:$M$159,7,FALSE),0)</f>
        <v>0</v>
      </c>
      <c r="O182" s="15">
        <f>IFERROR(VLOOKUP($B182,'Cost Library'!$A$2:$M$159,8,FALSE),0)</f>
        <v>0</v>
      </c>
      <c r="P182" s="15">
        <f>IFERROR(VLOOKUP($B182,'Cost Library'!$A$2:$M$159,9,FALSE),0)</f>
        <v>0</v>
      </c>
      <c r="Q182" s="16"/>
      <c r="R182" s="16" t="s">
        <v>116</v>
      </c>
      <c r="S182" s="17">
        <f t="shared" si="34"/>
        <v>0</v>
      </c>
      <c r="T182" s="18">
        <f>'Project Inputs'!$C$15</f>
        <v>0.1</v>
      </c>
      <c r="U182" s="17">
        <f t="shared" si="35"/>
        <v>0</v>
      </c>
      <c r="V182" s="11" t="s">
        <v>247</v>
      </c>
      <c r="W182" s="14" t="str">
        <f>IFERROR(VLOOKUP($B182,'Cost Library'!$A$2:$M$159,10,FALSE),"")</f>
        <v/>
      </c>
      <c r="X182" s="11"/>
      <c r="Y182" s="11"/>
      <c r="Z182" s="11"/>
      <c r="AA182" s="11"/>
      <c r="AB182" s="11"/>
      <c r="AC182" s="11"/>
      <c r="AD182" s="30"/>
      <c r="AE182" s="31"/>
      <c r="AF182" s="3">
        <f t="shared" si="36"/>
        <v>0</v>
      </c>
      <c r="AG182" s="31"/>
      <c r="AH182" s="31"/>
      <c r="AI182" s="3">
        <f t="shared" si="37"/>
        <v>0</v>
      </c>
      <c r="AJ182" s="31"/>
      <c r="AK182" s="31"/>
      <c r="AL182" s="3">
        <f t="shared" si="38"/>
        <v>0</v>
      </c>
      <c r="AM182" s="3">
        <f>IF($A182&lt;&gt;"Yes",0,IF($R182="Detailed Breakdown",$AF182,$S182*IFERROR(VLOOKUP($B182,'Cost Library'!$A$2:$Q$159,14,FALSE),0.4)))</f>
        <v>0</v>
      </c>
      <c r="AN182" s="3">
        <f>IF($A182&lt;&gt;"Yes",0,IF($R182="Detailed Breakdown",$AI182,$S182*IFERROR(VLOOKUP($B182,'Cost Library'!$A$2:$Q$159,15,FALSE),0.5)))</f>
        <v>0</v>
      </c>
      <c r="AO182" s="3">
        <f>IF($A182&lt;&gt;"Yes",0,IF($R182="Detailed Breakdown",$AJ182+$AK182,$S182*IFERROR(VLOOKUP($B182,'Cost Library'!$A$2:$Q$159,16,FALSE),0.1)))</f>
        <v>0</v>
      </c>
      <c r="AP182" s="3">
        <f t="shared" si="39"/>
        <v>0</v>
      </c>
      <c r="AQ182" s="32">
        <f t="shared" si="40"/>
        <v>0</v>
      </c>
      <c r="AR182" s="32">
        <f t="shared" si="41"/>
        <v>0</v>
      </c>
      <c r="AS182" s="32">
        <f t="shared" si="42"/>
        <v>0</v>
      </c>
      <c r="AT182" s="2" t="str">
        <f t="shared" si="43"/>
        <v/>
      </c>
      <c r="AU182" s="31" t="s">
        <v>116</v>
      </c>
      <c r="AV182" s="3">
        <f t="shared" si="44"/>
        <v>0</v>
      </c>
      <c r="AW182" s="3">
        <f t="shared" si="45"/>
        <v>0</v>
      </c>
      <c r="AX182" s="3">
        <f t="shared" si="46"/>
        <v>0</v>
      </c>
      <c r="AY182" s="3">
        <f t="shared" si="47"/>
        <v>0</v>
      </c>
      <c r="AZ182" s="3">
        <f t="shared" si="48"/>
        <v>0</v>
      </c>
      <c r="BA182" s="32">
        <f t="shared" si="49"/>
        <v>0</v>
      </c>
      <c r="BB182" s="2" t="str">
        <f t="shared" si="50"/>
        <v/>
      </c>
    </row>
    <row r="183" spans="1:54" ht="14.4">
      <c r="A183" s="13" t="s">
        <v>161</v>
      </c>
      <c r="B183" s="13"/>
      <c r="C183" s="14" t="str">
        <f>IFERROR(VLOOKUP($B183,'Cost Library'!$A$2:$M$159,2,FALSE),"")</f>
        <v/>
      </c>
      <c r="D183" s="14" t="str">
        <f>IFERROR(VLOOKUP($B183,'Cost Library'!$A$2:$M$159,3,FALSE),"")</f>
        <v/>
      </c>
      <c r="E183" s="13"/>
      <c r="F183" s="13"/>
      <c r="G183" s="13" t="str">
        <f>IFERROR(VLOOKUP($B183,'Cost Library'!$A$2:$M$159,5,FALSE),"")</f>
        <v/>
      </c>
      <c r="H183" s="13"/>
      <c r="I183" s="13"/>
      <c r="J183" s="13"/>
      <c r="K183" s="13"/>
      <c r="L183" s="13">
        <v>1</v>
      </c>
      <c r="M183" s="14" t="str">
        <f>IFERROR(VLOOKUP($B183,'Cost Library'!$A$2:$M$159,6,FALSE),"")</f>
        <v/>
      </c>
      <c r="N183" s="15">
        <f>IFERROR(VLOOKUP($B183,'Cost Library'!$A$2:$M$159,7,FALSE),0)</f>
        <v>0</v>
      </c>
      <c r="O183" s="15">
        <f>IFERROR(VLOOKUP($B183,'Cost Library'!$A$2:$M$159,8,FALSE),0)</f>
        <v>0</v>
      </c>
      <c r="P183" s="15">
        <f>IFERROR(VLOOKUP($B183,'Cost Library'!$A$2:$M$159,9,FALSE),0)</f>
        <v>0</v>
      </c>
      <c r="Q183" s="16"/>
      <c r="R183" s="16" t="s">
        <v>116</v>
      </c>
      <c r="S183" s="17">
        <f t="shared" si="34"/>
        <v>0</v>
      </c>
      <c r="T183" s="18">
        <f>'Project Inputs'!$C$15</f>
        <v>0.1</v>
      </c>
      <c r="U183" s="17">
        <f t="shared" si="35"/>
        <v>0</v>
      </c>
      <c r="V183" s="11" t="s">
        <v>247</v>
      </c>
      <c r="W183" s="14" t="str">
        <f>IFERROR(VLOOKUP($B183,'Cost Library'!$A$2:$M$159,10,FALSE),"")</f>
        <v/>
      </c>
      <c r="X183" s="11"/>
      <c r="Y183" s="11"/>
      <c r="Z183" s="11"/>
      <c r="AA183" s="11"/>
      <c r="AB183" s="11"/>
      <c r="AC183" s="11"/>
      <c r="AD183" s="30"/>
      <c r="AE183" s="31"/>
      <c r="AF183" s="3">
        <f t="shared" si="36"/>
        <v>0</v>
      </c>
      <c r="AG183" s="31"/>
      <c r="AH183" s="31"/>
      <c r="AI183" s="3">
        <f t="shared" si="37"/>
        <v>0</v>
      </c>
      <c r="AJ183" s="31"/>
      <c r="AK183" s="31"/>
      <c r="AL183" s="3">
        <f t="shared" si="38"/>
        <v>0</v>
      </c>
      <c r="AM183" s="3">
        <f>IF($A183&lt;&gt;"Yes",0,IF($R183="Detailed Breakdown",$AF183,$S183*IFERROR(VLOOKUP($B183,'Cost Library'!$A$2:$Q$159,14,FALSE),0.4)))</f>
        <v>0</v>
      </c>
      <c r="AN183" s="3">
        <f>IF($A183&lt;&gt;"Yes",0,IF($R183="Detailed Breakdown",$AI183,$S183*IFERROR(VLOOKUP($B183,'Cost Library'!$A$2:$Q$159,15,FALSE),0.5)))</f>
        <v>0</v>
      </c>
      <c r="AO183" s="3">
        <f>IF($A183&lt;&gt;"Yes",0,IF($R183="Detailed Breakdown",$AJ183+$AK183,$S183*IFERROR(VLOOKUP($B183,'Cost Library'!$A$2:$Q$159,16,FALSE),0.1)))</f>
        <v>0</v>
      </c>
      <c r="AP183" s="3">
        <f t="shared" si="39"/>
        <v>0</v>
      </c>
      <c r="AQ183" s="32">
        <f t="shared" si="40"/>
        <v>0</v>
      </c>
      <c r="AR183" s="32">
        <f t="shared" si="41"/>
        <v>0</v>
      </c>
      <c r="AS183" s="32">
        <f t="shared" si="42"/>
        <v>0</v>
      </c>
      <c r="AT183" s="2" t="str">
        <f t="shared" si="43"/>
        <v/>
      </c>
      <c r="AU183" s="31" t="s">
        <v>116</v>
      </c>
      <c r="AV183" s="3">
        <f t="shared" si="44"/>
        <v>0</v>
      </c>
      <c r="AW183" s="3">
        <f t="shared" si="45"/>
        <v>0</v>
      </c>
      <c r="AX183" s="3">
        <f t="shared" si="46"/>
        <v>0</v>
      </c>
      <c r="AY183" s="3">
        <f t="shared" si="47"/>
        <v>0</v>
      </c>
      <c r="AZ183" s="3">
        <f t="shared" si="48"/>
        <v>0</v>
      </c>
      <c r="BA183" s="32">
        <f t="shared" si="49"/>
        <v>0</v>
      </c>
      <c r="BB183" s="2" t="str">
        <f t="shared" si="50"/>
        <v/>
      </c>
    </row>
    <row r="184" spans="1:54" ht="14.4">
      <c r="A184" s="13" t="s">
        <v>161</v>
      </c>
      <c r="B184" s="13"/>
      <c r="C184" s="14" t="str">
        <f>IFERROR(VLOOKUP($B184,'Cost Library'!$A$2:$M$159,2,FALSE),"")</f>
        <v/>
      </c>
      <c r="D184" s="14" t="str">
        <f>IFERROR(VLOOKUP($B184,'Cost Library'!$A$2:$M$159,3,FALSE),"")</f>
        <v/>
      </c>
      <c r="E184" s="13"/>
      <c r="F184" s="13"/>
      <c r="G184" s="13" t="str">
        <f>IFERROR(VLOOKUP($B184,'Cost Library'!$A$2:$M$159,5,FALSE),"")</f>
        <v/>
      </c>
      <c r="H184" s="13"/>
      <c r="I184" s="13"/>
      <c r="J184" s="13"/>
      <c r="K184" s="13"/>
      <c r="L184" s="13">
        <v>1</v>
      </c>
      <c r="M184" s="14" t="str">
        <f>IFERROR(VLOOKUP($B184,'Cost Library'!$A$2:$M$159,6,FALSE),"")</f>
        <v/>
      </c>
      <c r="N184" s="15">
        <f>IFERROR(VLOOKUP($B184,'Cost Library'!$A$2:$M$159,7,FALSE),0)</f>
        <v>0</v>
      </c>
      <c r="O184" s="15">
        <f>IFERROR(VLOOKUP($B184,'Cost Library'!$A$2:$M$159,8,FALSE),0)</f>
        <v>0</v>
      </c>
      <c r="P184" s="15">
        <f>IFERROR(VLOOKUP($B184,'Cost Library'!$A$2:$M$159,9,FALSE),0)</f>
        <v>0</v>
      </c>
      <c r="Q184" s="16"/>
      <c r="R184" s="16" t="s">
        <v>116</v>
      </c>
      <c r="S184" s="17">
        <f t="shared" si="34"/>
        <v>0</v>
      </c>
      <c r="T184" s="18">
        <f>'Project Inputs'!$C$15</f>
        <v>0.1</v>
      </c>
      <c r="U184" s="17">
        <f t="shared" si="35"/>
        <v>0</v>
      </c>
      <c r="V184" s="11" t="s">
        <v>247</v>
      </c>
      <c r="W184" s="14" t="str">
        <f>IFERROR(VLOOKUP($B184,'Cost Library'!$A$2:$M$159,10,FALSE),"")</f>
        <v/>
      </c>
      <c r="X184" s="11"/>
      <c r="Y184" s="11"/>
      <c r="Z184" s="11"/>
      <c r="AA184" s="11"/>
      <c r="AB184" s="11"/>
      <c r="AC184" s="11"/>
      <c r="AD184" s="30"/>
      <c r="AE184" s="31"/>
      <c r="AF184" s="3">
        <f t="shared" si="36"/>
        <v>0</v>
      </c>
      <c r="AG184" s="31"/>
      <c r="AH184" s="31"/>
      <c r="AI184" s="3">
        <f t="shared" si="37"/>
        <v>0</v>
      </c>
      <c r="AJ184" s="31"/>
      <c r="AK184" s="31"/>
      <c r="AL184" s="3">
        <f t="shared" si="38"/>
        <v>0</v>
      </c>
      <c r="AM184" s="3">
        <f>IF($A184&lt;&gt;"Yes",0,IF($R184="Detailed Breakdown",$AF184,$S184*IFERROR(VLOOKUP($B184,'Cost Library'!$A$2:$Q$159,14,FALSE),0.4)))</f>
        <v>0</v>
      </c>
      <c r="AN184" s="3">
        <f>IF($A184&lt;&gt;"Yes",0,IF($R184="Detailed Breakdown",$AI184,$S184*IFERROR(VLOOKUP($B184,'Cost Library'!$A$2:$Q$159,15,FALSE),0.5)))</f>
        <v>0</v>
      </c>
      <c r="AO184" s="3">
        <f>IF($A184&lt;&gt;"Yes",0,IF($R184="Detailed Breakdown",$AJ184+$AK184,$S184*IFERROR(VLOOKUP($B184,'Cost Library'!$A$2:$Q$159,16,FALSE),0.1)))</f>
        <v>0</v>
      </c>
      <c r="AP184" s="3">
        <f t="shared" si="39"/>
        <v>0</v>
      </c>
      <c r="AQ184" s="32">
        <f t="shared" si="40"/>
        <v>0</v>
      </c>
      <c r="AR184" s="32">
        <f t="shared" si="41"/>
        <v>0</v>
      </c>
      <c r="AS184" s="32">
        <f t="shared" si="42"/>
        <v>0</v>
      </c>
      <c r="AT184" s="2" t="str">
        <f t="shared" si="43"/>
        <v/>
      </c>
      <c r="AU184" s="31" t="s">
        <v>116</v>
      </c>
      <c r="AV184" s="3">
        <f t="shared" si="44"/>
        <v>0</v>
      </c>
      <c r="AW184" s="3">
        <f t="shared" si="45"/>
        <v>0</v>
      </c>
      <c r="AX184" s="3">
        <f t="shared" si="46"/>
        <v>0</v>
      </c>
      <c r="AY184" s="3">
        <f t="shared" si="47"/>
        <v>0</v>
      </c>
      <c r="AZ184" s="3">
        <f t="shared" si="48"/>
        <v>0</v>
      </c>
      <c r="BA184" s="32">
        <f t="shared" si="49"/>
        <v>0</v>
      </c>
      <c r="BB184" s="2" t="str">
        <f t="shared" si="50"/>
        <v/>
      </c>
    </row>
    <row r="185" spans="1:54" ht="14.4">
      <c r="A185" s="13" t="s">
        <v>161</v>
      </c>
      <c r="B185" s="13"/>
      <c r="C185" s="14" t="str">
        <f>IFERROR(VLOOKUP($B185,'Cost Library'!$A$2:$M$159,2,FALSE),"")</f>
        <v/>
      </c>
      <c r="D185" s="14" t="str">
        <f>IFERROR(VLOOKUP($B185,'Cost Library'!$A$2:$M$159,3,FALSE),"")</f>
        <v/>
      </c>
      <c r="E185" s="13"/>
      <c r="F185" s="13"/>
      <c r="G185" s="13" t="str">
        <f>IFERROR(VLOOKUP($B185,'Cost Library'!$A$2:$M$159,5,FALSE),"")</f>
        <v/>
      </c>
      <c r="H185" s="13"/>
      <c r="I185" s="13"/>
      <c r="J185" s="13"/>
      <c r="K185" s="13"/>
      <c r="L185" s="13">
        <v>1</v>
      </c>
      <c r="M185" s="14" t="str">
        <f>IFERROR(VLOOKUP($B185,'Cost Library'!$A$2:$M$159,6,FALSE),"")</f>
        <v/>
      </c>
      <c r="N185" s="15">
        <f>IFERROR(VLOOKUP($B185,'Cost Library'!$A$2:$M$159,7,FALSE),0)</f>
        <v>0</v>
      </c>
      <c r="O185" s="15">
        <f>IFERROR(VLOOKUP($B185,'Cost Library'!$A$2:$M$159,8,FALSE),0)</f>
        <v>0</v>
      </c>
      <c r="P185" s="15">
        <f>IFERROR(VLOOKUP($B185,'Cost Library'!$A$2:$M$159,9,FALSE),0)</f>
        <v>0</v>
      </c>
      <c r="Q185" s="16"/>
      <c r="R185" s="16" t="s">
        <v>116</v>
      </c>
      <c r="S185" s="17">
        <f t="shared" si="34"/>
        <v>0</v>
      </c>
      <c r="T185" s="18">
        <f>'Project Inputs'!$C$15</f>
        <v>0.1</v>
      </c>
      <c r="U185" s="17">
        <f t="shared" si="35"/>
        <v>0</v>
      </c>
      <c r="V185" s="11" t="s">
        <v>247</v>
      </c>
      <c r="W185" s="14" t="str">
        <f>IFERROR(VLOOKUP($B185,'Cost Library'!$A$2:$M$159,10,FALSE),"")</f>
        <v/>
      </c>
      <c r="X185" s="11"/>
      <c r="Y185" s="11"/>
      <c r="Z185" s="11"/>
      <c r="AA185" s="11"/>
      <c r="AB185" s="11"/>
      <c r="AC185" s="11"/>
      <c r="AD185" s="30"/>
      <c r="AE185" s="31"/>
      <c r="AF185" s="3">
        <f t="shared" si="36"/>
        <v>0</v>
      </c>
      <c r="AG185" s="31"/>
      <c r="AH185" s="31"/>
      <c r="AI185" s="3">
        <f t="shared" si="37"/>
        <v>0</v>
      </c>
      <c r="AJ185" s="31"/>
      <c r="AK185" s="31"/>
      <c r="AL185" s="3">
        <f t="shared" si="38"/>
        <v>0</v>
      </c>
      <c r="AM185" s="3">
        <f>IF($A185&lt;&gt;"Yes",0,IF($R185="Detailed Breakdown",$AF185,$S185*IFERROR(VLOOKUP($B185,'Cost Library'!$A$2:$Q$159,14,FALSE),0.4)))</f>
        <v>0</v>
      </c>
      <c r="AN185" s="3">
        <f>IF($A185&lt;&gt;"Yes",0,IF($R185="Detailed Breakdown",$AI185,$S185*IFERROR(VLOOKUP($B185,'Cost Library'!$A$2:$Q$159,15,FALSE),0.5)))</f>
        <v>0</v>
      </c>
      <c r="AO185" s="3">
        <f>IF($A185&lt;&gt;"Yes",0,IF($R185="Detailed Breakdown",$AJ185+$AK185,$S185*IFERROR(VLOOKUP($B185,'Cost Library'!$A$2:$Q$159,16,FALSE),0.1)))</f>
        <v>0</v>
      </c>
      <c r="AP185" s="3">
        <f t="shared" si="39"/>
        <v>0</v>
      </c>
      <c r="AQ185" s="32">
        <f t="shared" si="40"/>
        <v>0</v>
      </c>
      <c r="AR185" s="32">
        <f t="shared" si="41"/>
        <v>0</v>
      </c>
      <c r="AS185" s="32">
        <f t="shared" si="42"/>
        <v>0</v>
      </c>
      <c r="AT185" s="2" t="str">
        <f t="shared" si="43"/>
        <v/>
      </c>
      <c r="AU185" s="31" t="s">
        <v>116</v>
      </c>
      <c r="AV185" s="3">
        <f t="shared" si="44"/>
        <v>0</v>
      </c>
      <c r="AW185" s="3">
        <f t="shared" si="45"/>
        <v>0</v>
      </c>
      <c r="AX185" s="3">
        <f t="shared" si="46"/>
        <v>0</v>
      </c>
      <c r="AY185" s="3">
        <f t="shared" si="47"/>
        <v>0</v>
      </c>
      <c r="AZ185" s="3">
        <f t="shared" si="48"/>
        <v>0</v>
      </c>
      <c r="BA185" s="32">
        <f t="shared" si="49"/>
        <v>0</v>
      </c>
      <c r="BB185" s="2" t="str">
        <f t="shared" si="50"/>
        <v/>
      </c>
    </row>
    <row r="186" spans="1:54" ht="14.4">
      <c r="A186" s="13" t="s">
        <v>161</v>
      </c>
      <c r="B186" s="13"/>
      <c r="C186" s="14" t="str">
        <f>IFERROR(VLOOKUP($B186,'Cost Library'!$A$2:$M$159,2,FALSE),"")</f>
        <v/>
      </c>
      <c r="D186" s="14" t="str">
        <f>IFERROR(VLOOKUP($B186,'Cost Library'!$A$2:$M$159,3,FALSE),"")</f>
        <v/>
      </c>
      <c r="E186" s="13"/>
      <c r="F186" s="13"/>
      <c r="G186" s="13" t="str">
        <f>IFERROR(VLOOKUP($B186,'Cost Library'!$A$2:$M$159,5,FALSE),"")</f>
        <v/>
      </c>
      <c r="H186" s="13"/>
      <c r="I186" s="13"/>
      <c r="J186" s="13"/>
      <c r="K186" s="13"/>
      <c r="L186" s="13">
        <v>1</v>
      </c>
      <c r="M186" s="14" t="str">
        <f>IFERROR(VLOOKUP($B186,'Cost Library'!$A$2:$M$159,6,FALSE),"")</f>
        <v/>
      </c>
      <c r="N186" s="15">
        <f>IFERROR(VLOOKUP($B186,'Cost Library'!$A$2:$M$159,7,FALSE),0)</f>
        <v>0</v>
      </c>
      <c r="O186" s="15">
        <f>IFERROR(VLOOKUP($B186,'Cost Library'!$A$2:$M$159,8,FALSE),0)</f>
        <v>0</v>
      </c>
      <c r="P186" s="15">
        <f>IFERROR(VLOOKUP($B186,'Cost Library'!$A$2:$M$159,9,FALSE),0)</f>
        <v>0</v>
      </c>
      <c r="Q186" s="16"/>
      <c r="R186" s="16" t="s">
        <v>116</v>
      </c>
      <c r="S186" s="17">
        <f t="shared" si="34"/>
        <v>0</v>
      </c>
      <c r="T186" s="18">
        <f>'Project Inputs'!$C$15</f>
        <v>0.1</v>
      </c>
      <c r="U186" s="17">
        <f t="shared" si="35"/>
        <v>0</v>
      </c>
      <c r="V186" s="11" t="s">
        <v>247</v>
      </c>
      <c r="W186" s="14" t="str">
        <f>IFERROR(VLOOKUP($B186,'Cost Library'!$A$2:$M$159,10,FALSE),"")</f>
        <v/>
      </c>
      <c r="X186" s="11"/>
      <c r="Y186" s="11"/>
      <c r="Z186" s="11"/>
      <c r="AA186" s="11"/>
      <c r="AB186" s="11"/>
      <c r="AC186" s="11"/>
      <c r="AD186" s="30"/>
      <c r="AE186" s="31"/>
      <c r="AF186" s="3">
        <f t="shared" si="36"/>
        <v>0</v>
      </c>
      <c r="AG186" s="31"/>
      <c r="AH186" s="31"/>
      <c r="AI186" s="3">
        <f t="shared" si="37"/>
        <v>0</v>
      </c>
      <c r="AJ186" s="31"/>
      <c r="AK186" s="31"/>
      <c r="AL186" s="3">
        <f t="shared" si="38"/>
        <v>0</v>
      </c>
      <c r="AM186" s="3">
        <f>IF($A186&lt;&gt;"Yes",0,IF($R186="Detailed Breakdown",$AF186,$S186*IFERROR(VLOOKUP($B186,'Cost Library'!$A$2:$Q$159,14,FALSE),0.4)))</f>
        <v>0</v>
      </c>
      <c r="AN186" s="3">
        <f>IF($A186&lt;&gt;"Yes",0,IF($R186="Detailed Breakdown",$AI186,$S186*IFERROR(VLOOKUP($B186,'Cost Library'!$A$2:$Q$159,15,FALSE),0.5)))</f>
        <v>0</v>
      </c>
      <c r="AO186" s="3">
        <f>IF($A186&lt;&gt;"Yes",0,IF($R186="Detailed Breakdown",$AJ186+$AK186,$S186*IFERROR(VLOOKUP($B186,'Cost Library'!$A$2:$Q$159,16,FALSE),0.1)))</f>
        <v>0</v>
      </c>
      <c r="AP186" s="3">
        <f t="shared" si="39"/>
        <v>0</v>
      </c>
      <c r="AQ186" s="32">
        <f t="shared" si="40"/>
        <v>0</v>
      </c>
      <c r="AR186" s="32">
        <f t="shared" si="41"/>
        <v>0</v>
      </c>
      <c r="AS186" s="32">
        <f t="shared" si="42"/>
        <v>0</v>
      </c>
      <c r="AT186" s="2" t="str">
        <f t="shared" si="43"/>
        <v/>
      </c>
      <c r="AU186" s="31" t="s">
        <v>116</v>
      </c>
      <c r="AV186" s="3">
        <f t="shared" si="44"/>
        <v>0</v>
      </c>
      <c r="AW186" s="3">
        <f t="shared" si="45"/>
        <v>0</v>
      </c>
      <c r="AX186" s="3">
        <f t="shared" si="46"/>
        <v>0</v>
      </c>
      <c r="AY186" s="3">
        <f t="shared" si="47"/>
        <v>0</v>
      </c>
      <c r="AZ186" s="3">
        <f t="shared" si="48"/>
        <v>0</v>
      </c>
      <c r="BA186" s="32">
        <f t="shared" si="49"/>
        <v>0</v>
      </c>
      <c r="BB186" s="2" t="str">
        <f t="shared" si="50"/>
        <v/>
      </c>
    </row>
    <row r="187" spans="1:54" ht="14.4">
      <c r="A187" s="13" t="s">
        <v>161</v>
      </c>
      <c r="B187" s="13"/>
      <c r="C187" s="14" t="str">
        <f>IFERROR(VLOOKUP($B187,'Cost Library'!$A$2:$M$159,2,FALSE),"")</f>
        <v/>
      </c>
      <c r="D187" s="14" t="str">
        <f>IFERROR(VLOOKUP($B187,'Cost Library'!$A$2:$M$159,3,FALSE),"")</f>
        <v/>
      </c>
      <c r="E187" s="13"/>
      <c r="F187" s="13"/>
      <c r="G187" s="13" t="str">
        <f>IFERROR(VLOOKUP($B187,'Cost Library'!$A$2:$M$159,5,FALSE),"")</f>
        <v/>
      </c>
      <c r="H187" s="13"/>
      <c r="I187" s="13"/>
      <c r="J187" s="13"/>
      <c r="K187" s="13"/>
      <c r="L187" s="13">
        <v>1</v>
      </c>
      <c r="M187" s="14" t="str">
        <f>IFERROR(VLOOKUP($B187,'Cost Library'!$A$2:$M$159,6,FALSE),"")</f>
        <v/>
      </c>
      <c r="N187" s="15">
        <f>IFERROR(VLOOKUP($B187,'Cost Library'!$A$2:$M$159,7,FALSE),0)</f>
        <v>0</v>
      </c>
      <c r="O187" s="15">
        <f>IFERROR(VLOOKUP($B187,'Cost Library'!$A$2:$M$159,8,FALSE),0)</f>
        <v>0</v>
      </c>
      <c r="P187" s="15">
        <f>IFERROR(VLOOKUP($B187,'Cost Library'!$A$2:$M$159,9,FALSE),0)</f>
        <v>0</v>
      </c>
      <c r="Q187" s="16"/>
      <c r="R187" s="16" t="s">
        <v>116</v>
      </c>
      <c r="S187" s="17">
        <f t="shared" si="34"/>
        <v>0</v>
      </c>
      <c r="T187" s="18">
        <f>'Project Inputs'!$C$15</f>
        <v>0.1</v>
      </c>
      <c r="U187" s="17">
        <f t="shared" si="35"/>
        <v>0</v>
      </c>
      <c r="V187" s="11" t="s">
        <v>247</v>
      </c>
      <c r="W187" s="14" t="str">
        <f>IFERROR(VLOOKUP($B187,'Cost Library'!$A$2:$M$159,10,FALSE),"")</f>
        <v/>
      </c>
      <c r="X187" s="11"/>
      <c r="Y187" s="11"/>
      <c r="Z187" s="11"/>
      <c r="AA187" s="11"/>
      <c r="AB187" s="11"/>
      <c r="AC187" s="11"/>
      <c r="AD187" s="30"/>
      <c r="AE187" s="31"/>
      <c r="AF187" s="3">
        <f t="shared" si="36"/>
        <v>0</v>
      </c>
      <c r="AG187" s="31"/>
      <c r="AH187" s="31"/>
      <c r="AI187" s="3">
        <f t="shared" si="37"/>
        <v>0</v>
      </c>
      <c r="AJ187" s="31"/>
      <c r="AK187" s="31"/>
      <c r="AL187" s="3">
        <f t="shared" si="38"/>
        <v>0</v>
      </c>
      <c r="AM187" s="3">
        <f>IF($A187&lt;&gt;"Yes",0,IF($R187="Detailed Breakdown",$AF187,$S187*IFERROR(VLOOKUP($B187,'Cost Library'!$A$2:$Q$159,14,FALSE),0.4)))</f>
        <v>0</v>
      </c>
      <c r="AN187" s="3">
        <f>IF($A187&lt;&gt;"Yes",0,IF($R187="Detailed Breakdown",$AI187,$S187*IFERROR(VLOOKUP($B187,'Cost Library'!$A$2:$Q$159,15,FALSE),0.5)))</f>
        <v>0</v>
      </c>
      <c r="AO187" s="3">
        <f>IF($A187&lt;&gt;"Yes",0,IF($R187="Detailed Breakdown",$AJ187+$AK187,$S187*IFERROR(VLOOKUP($B187,'Cost Library'!$A$2:$Q$159,16,FALSE),0.1)))</f>
        <v>0</v>
      </c>
      <c r="AP187" s="3">
        <f t="shared" si="39"/>
        <v>0</v>
      </c>
      <c r="AQ187" s="32">
        <f t="shared" si="40"/>
        <v>0</v>
      </c>
      <c r="AR187" s="32">
        <f t="shared" si="41"/>
        <v>0</v>
      </c>
      <c r="AS187" s="32">
        <f t="shared" si="42"/>
        <v>0</v>
      </c>
      <c r="AT187" s="2" t="str">
        <f t="shared" si="43"/>
        <v/>
      </c>
      <c r="AU187" s="31" t="s">
        <v>116</v>
      </c>
      <c r="AV187" s="3">
        <f t="shared" si="44"/>
        <v>0</v>
      </c>
      <c r="AW187" s="3">
        <f t="shared" si="45"/>
        <v>0</v>
      </c>
      <c r="AX187" s="3">
        <f t="shared" si="46"/>
        <v>0</v>
      </c>
      <c r="AY187" s="3">
        <f t="shared" si="47"/>
        <v>0</v>
      </c>
      <c r="AZ187" s="3">
        <f t="shared" si="48"/>
        <v>0</v>
      </c>
      <c r="BA187" s="32">
        <f t="shared" si="49"/>
        <v>0</v>
      </c>
      <c r="BB187" s="2" t="str">
        <f t="shared" si="50"/>
        <v/>
      </c>
    </row>
    <row r="188" spans="1:54" ht="14.4">
      <c r="A188" s="13" t="s">
        <v>161</v>
      </c>
      <c r="B188" s="13"/>
      <c r="C188" s="14" t="str">
        <f>IFERROR(VLOOKUP($B188,'Cost Library'!$A$2:$M$159,2,FALSE),"")</f>
        <v/>
      </c>
      <c r="D188" s="14" t="str">
        <f>IFERROR(VLOOKUP($B188,'Cost Library'!$A$2:$M$159,3,FALSE),"")</f>
        <v/>
      </c>
      <c r="E188" s="13"/>
      <c r="F188" s="13"/>
      <c r="G188" s="13" t="str">
        <f>IFERROR(VLOOKUP($B188,'Cost Library'!$A$2:$M$159,5,FALSE),"")</f>
        <v/>
      </c>
      <c r="H188" s="13"/>
      <c r="I188" s="13"/>
      <c r="J188" s="13"/>
      <c r="K188" s="13"/>
      <c r="L188" s="13">
        <v>1</v>
      </c>
      <c r="M188" s="14" t="str">
        <f>IFERROR(VLOOKUP($B188,'Cost Library'!$A$2:$M$159,6,FALSE),"")</f>
        <v/>
      </c>
      <c r="N188" s="15">
        <f>IFERROR(VLOOKUP($B188,'Cost Library'!$A$2:$M$159,7,FALSE),0)</f>
        <v>0</v>
      </c>
      <c r="O188" s="15">
        <f>IFERROR(VLOOKUP($B188,'Cost Library'!$A$2:$M$159,8,FALSE),0)</f>
        <v>0</v>
      </c>
      <c r="P188" s="15">
        <f>IFERROR(VLOOKUP($B188,'Cost Library'!$A$2:$M$159,9,FALSE),0)</f>
        <v>0</v>
      </c>
      <c r="Q188" s="16"/>
      <c r="R188" s="16" t="s">
        <v>116</v>
      </c>
      <c r="S188" s="17">
        <f t="shared" si="34"/>
        <v>0</v>
      </c>
      <c r="T188" s="18">
        <f>'Project Inputs'!$C$15</f>
        <v>0.1</v>
      </c>
      <c r="U188" s="17">
        <f t="shared" si="35"/>
        <v>0</v>
      </c>
      <c r="V188" s="11" t="s">
        <v>247</v>
      </c>
      <c r="W188" s="14" t="str">
        <f>IFERROR(VLOOKUP($B188,'Cost Library'!$A$2:$M$159,10,FALSE),"")</f>
        <v/>
      </c>
      <c r="X188" s="11"/>
      <c r="Y188" s="11"/>
      <c r="Z188" s="11"/>
      <c r="AA188" s="11"/>
      <c r="AB188" s="11"/>
      <c r="AC188" s="11"/>
      <c r="AD188" s="30"/>
      <c r="AE188" s="31"/>
      <c r="AF188" s="3">
        <f t="shared" si="36"/>
        <v>0</v>
      </c>
      <c r="AG188" s="31"/>
      <c r="AH188" s="31"/>
      <c r="AI188" s="3">
        <f t="shared" si="37"/>
        <v>0</v>
      </c>
      <c r="AJ188" s="31"/>
      <c r="AK188" s="31"/>
      <c r="AL188" s="3">
        <f t="shared" si="38"/>
        <v>0</v>
      </c>
      <c r="AM188" s="3">
        <f>IF($A188&lt;&gt;"Yes",0,IF($R188="Detailed Breakdown",$AF188,$S188*IFERROR(VLOOKUP($B188,'Cost Library'!$A$2:$Q$159,14,FALSE),0.4)))</f>
        <v>0</v>
      </c>
      <c r="AN188" s="3">
        <f>IF($A188&lt;&gt;"Yes",0,IF($R188="Detailed Breakdown",$AI188,$S188*IFERROR(VLOOKUP($B188,'Cost Library'!$A$2:$Q$159,15,FALSE),0.5)))</f>
        <v>0</v>
      </c>
      <c r="AO188" s="3">
        <f>IF($A188&lt;&gt;"Yes",0,IF($R188="Detailed Breakdown",$AJ188+$AK188,$S188*IFERROR(VLOOKUP($B188,'Cost Library'!$A$2:$Q$159,16,FALSE),0.1)))</f>
        <v>0</v>
      </c>
      <c r="AP188" s="3">
        <f t="shared" si="39"/>
        <v>0</v>
      </c>
      <c r="AQ188" s="32">
        <f t="shared" si="40"/>
        <v>0</v>
      </c>
      <c r="AR188" s="32">
        <f t="shared" si="41"/>
        <v>0</v>
      </c>
      <c r="AS188" s="32">
        <f t="shared" si="42"/>
        <v>0</v>
      </c>
      <c r="AT188" s="2" t="str">
        <f t="shared" si="43"/>
        <v/>
      </c>
      <c r="AU188" s="31" t="s">
        <v>116</v>
      </c>
      <c r="AV188" s="3">
        <f t="shared" si="44"/>
        <v>0</v>
      </c>
      <c r="AW188" s="3">
        <f t="shared" si="45"/>
        <v>0</v>
      </c>
      <c r="AX188" s="3">
        <f t="shared" si="46"/>
        <v>0</v>
      </c>
      <c r="AY188" s="3">
        <f t="shared" si="47"/>
        <v>0</v>
      </c>
      <c r="AZ188" s="3">
        <f t="shared" si="48"/>
        <v>0</v>
      </c>
      <c r="BA188" s="32">
        <f t="shared" si="49"/>
        <v>0</v>
      </c>
      <c r="BB188" s="2" t="str">
        <f t="shared" si="50"/>
        <v/>
      </c>
    </row>
    <row r="189" spans="1:54" ht="14.4">
      <c r="A189" s="13" t="s">
        <v>161</v>
      </c>
      <c r="B189" s="13"/>
      <c r="C189" s="14" t="str">
        <f>IFERROR(VLOOKUP($B189,'Cost Library'!$A$2:$M$159,2,FALSE),"")</f>
        <v/>
      </c>
      <c r="D189" s="14" t="str">
        <f>IFERROR(VLOOKUP($B189,'Cost Library'!$A$2:$M$159,3,FALSE),"")</f>
        <v/>
      </c>
      <c r="E189" s="13"/>
      <c r="F189" s="13"/>
      <c r="G189" s="13" t="str">
        <f>IFERROR(VLOOKUP($B189,'Cost Library'!$A$2:$M$159,5,FALSE),"")</f>
        <v/>
      </c>
      <c r="H189" s="13"/>
      <c r="I189" s="13"/>
      <c r="J189" s="13"/>
      <c r="K189" s="13"/>
      <c r="L189" s="13">
        <v>1</v>
      </c>
      <c r="M189" s="14" t="str">
        <f>IFERROR(VLOOKUP($B189,'Cost Library'!$A$2:$M$159,6,FALSE),"")</f>
        <v/>
      </c>
      <c r="N189" s="15">
        <f>IFERROR(VLOOKUP($B189,'Cost Library'!$A$2:$M$159,7,FALSE),0)</f>
        <v>0</v>
      </c>
      <c r="O189" s="15">
        <f>IFERROR(VLOOKUP($B189,'Cost Library'!$A$2:$M$159,8,FALSE),0)</f>
        <v>0</v>
      </c>
      <c r="P189" s="15">
        <f>IFERROR(VLOOKUP($B189,'Cost Library'!$A$2:$M$159,9,FALSE),0)</f>
        <v>0</v>
      </c>
      <c r="Q189" s="16"/>
      <c r="R189" s="16" t="s">
        <v>116</v>
      </c>
      <c r="S189" s="17">
        <f t="shared" si="34"/>
        <v>0</v>
      </c>
      <c r="T189" s="18">
        <f>'Project Inputs'!$C$15</f>
        <v>0.1</v>
      </c>
      <c r="U189" s="17">
        <f t="shared" si="35"/>
        <v>0</v>
      </c>
      <c r="V189" s="11" t="s">
        <v>247</v>
      </c>
      <c r="W189" s="14" t="str">
        <f>IFERROR(VLOOKUP($B189,'Cost Library'!$A$2:$M$159,10,FALSE),"")</f>
        <v/>
      </c>
      <c r="X189" s="11"/>
      <c r="Y189" s="11"/>
      <c r="Z189" s="11"/>
      <c r="AA189" s="11"/>
      <c r="AB189" s="11"/>
      <c r="AC189" s="11"/>
      <c r="AD189" s="30"/>
      <c r="AE189" s="31"/>
      <c r="AF189" s="3">
        <f t="shared" si="36"/>
        <v>0</v>
      </c>
      <c r="AG189" s="31"/>
      <c r="AH189" s="31"/>
      <c r="AI189" s="3">
        <f t="shared" si="37"/>
        <v>0</v>
      </c>
      <c r="AJ189" s="31"/>
      <c r="AK189" s="31"/>
      <c r="AL189" s="3">
        <f t="shared" si="38"/>
        <v>0</v>
      </c>
      <c r="AM189" s="3">
        <f>IF($A189&lt;&gt;"Yes",0,IF($R189="Detailed Breakdown",$AF189,$S189*IFERROR(VLOOKUP($B189,'Cost Library'!$A$2:$Q$159,14,FALSE),0.4)))</f>
        <v>0</v>
      </c>
      <c r="AN189" s="3">
        <f>IF($A189&lt;&gt;"Yes",0,IF($R189="Detailed Breakdown",$AI189,$S189*IFERROR(VLOOKUP($B189,'Cost Library'!$A$2:$Q$159,15,FALSE),0.5)))</f>
        <v>0</v>
      </c>
      <c r="AO189" s="3">
        <f>IF($A189&lt;&gt;"Yes",0,IF($R189="Detailed Breakdown",$AJ189+$AK189,$S189*IFERROR(VLOOKUP($B189,'Cost Library'!$A$2:$Q$159,16,FALSE),0.1)))</f>
        <v>0</v>
      </c>
      <c r="AP189" s="3">
        <f t="shared" si="39"/>
        <v>0</v>
      </c>
      <c r="AQ189" s="32">
        <f t="shared" si="40"/>
        <v>0</v>
      </c>
      <c r="AR189" s="32">
        <f t="shared" si="41"/>
        <v>0</v>
      </c>
      <c r="AS189" s="32">
        <f t="shared" si="42"/>
        <v>0</v>
      </c>
      <c r="AT189" s="2" t="str">
        <f t="shared" si="43"/>
        <v/>
      </c>
      <c r="AU189" s="31" t="s">
        <v>116</v>
      </c>
      <c r="AV189" s="3">
        <f t="shared" si="44"/>
        <v>0</v>
      </c>
      <c r="AW189" s="3">
        <f t="shared" si="45"/>
        <v>0</v>
      </c>
      <c r="AX189" s="3">
        <f t="shared" si="46"/>
        <v>0</v>
      </c>
      <c r="AY189" s="3">
        <f t="shared" si="47"/>
        <v>0</v>
      </c>
      <c r="AZ189" s="3">
        <f t="shared" si="48"/>
        <v>0</v>
      </c>
      <c r="BA189" s="32">
        <f t="shared" si="49"/>
        <v>0</v>
      </c>
      <c r="BB189" s="2" t="str">
        <f t="shared" si="50"/>
        <v/>
      </c>
    </row>
    <row r="190" spans="1:54" ht="14.4">
      <c r="A190" s="13" t="s">
        <v>161</v>
      </c>
      <c r="B190" s="13"/>
      <c r="C190" s="14" t="str">
        <f>IFERROR(VLOOKUP($B190,'Cost Library'!$A$2:$M$159,2,FALSE),"")</f>
        <v/>
      </c>
      <c r="D190" s="14" t="str">
        <f>IFERROR(VLOOKUP($B190,'Cost Library'!$A$2:$M$159,3,FALSE),"")</f>
        <v/>
      </c>
      <c r="E190" s="13"/>
      <c r="F190" s="13"/>
      <c r="G190" s="13" t="str">
        <f>IFERROR(VLOOKUP($B190,'Cost Library'!$A$2:$M$159,5,FALSE),"")</f>
        <v/>
      </c>
      <c r="H190" s="13"/>
      <c r="I190" s="13"/>
      <c r="J190" s="13"/>
      <c r="K190" s="13"/>
      <c r="L190" s="13">
        <v>1</v>
      </c>
      <c r="M190" s="14" t="str">
        <f>IFERROR(VLOOKUP($B190,'Cost Library'!$A$2:$M$159,6,FALSE),"")</f>
        <v/>
      </c>
      <c r="N190" s="15">
        <f>IFERROR(VLOOKUP($B190,'Cost Library'!$A$2:$M$159,7,FALSE),0)</f>
        <v>0</v>
      </c>
      <c r="O190" s="15">
        <f>IFERROR(VLOOKUP($B190,'Cost Library'!$A$2:$M$159,8,FALSE),0)</f>
        <v>0</v>
      </c>
      <c r="P190" s="15">
        <f>IFERROR(VLOOKUP($B190,'Cost Library'!$A$2:$M$159,9,FALSE),0)</f>
        <v>0</v>
      </c>
      <c r="Q190" s="16"/>
      <c r="R190" s="16" t="s">
        <v>116</v>
      </c>
      <c r="S190" s="17">
        <f t="shared" si="34"/>
        <v>0</v>
      </c>
      <c r="T190" s="18">
        <f>'Project Inputs'!$C$15</f>
        <v>0.1</v>
      </c>
      <c r="U190" s="17">
        <f t="shared" si="35"/>
        <v>0</v>
      </c>
      <c r="V190" s="11" t="s">
        <v>247</v>
      </c>
      <c r="W190" s="14" t="str">
        <f>IFERROR(VLOOKUP($B190,'Cost Library'!$A$2:$M$159,10,FALSE),"")</f>
        <v/>
      </c>
      <c r="X190" s="11"/>
      <c r="Y190" s="11"/>
      <c r="Z190" s="11"/>
      <c r="AA190" s="11"/>
      <c r="AB190" s="11"/>
      <c r="AC190" s="11"/>
      <c r="AD190" s="30"/>
      <c r="AE190" s="31"/>
      <c r="AF190" s="3">
        <f t="shared" si="36"/>
        <v>0</v>
      </c>
      <c r="AG190" s="31"/>
      <c r="AH190" s="31"/>
      <c r="AI190" s="3">
        <f t="shared" si="37"/>
        <v>0</v>
      </c>
      <c r="AJ190" s="31"/>
      <c r="AK190" s="31"/>
      <c r="AL190" s="3">
        <f t="shared" si="38"/>
        <v>0</v>
      </c>
      <c r="AM190" s="3">
        <f>IF($A190&lt;&gt;"Yes",0,IF($R190="Detailed Breakdown",$AF190,$S190*IFERROR(VLOOKUP($B190,'Cost Library'!$A$2:$Q$159,14,FALSE),0.4)))</f>
        <v>0</v>
      </c>
      <c r="AN190" s="3">
        <f>IF($A190&lt;&gt;"Yes",0,IF($R190="Detailed Breakdown",$AI190,$S190*IFERROR(VLOOKUP($B190,'Cost Library'!$A$2:$Q$159,15,FALSE),0.5)))</f>
        <v>0</v>
      </c>
      <c r="AO190" s="3">
        <f>IF($A190&lt;&gt;"Yes",0,IF($R190="Detailed Breakdown",$AJ190+$AK190,$S190*IFERROR(VLOOKUP($B190,'Cost Library'!$A$2:$Q$159,16,FALSE),0.1)))</f>
        <v>0</v>
      </c>
      <c r="AP190" s="3">
        <f t="shared" si="39"/>
        <v>0</v>
      </c>
      <c r="AQ190" s="32">
        <f t="shared" si="40"/>
        <v>0</v>
      </c>
      <c r="AR190" s="32">
        <f t="shared" si="41"/>
        <v>0</v>
      </c>
      <c r="AS190" s="32">
        <f t="shared" si="42"/>
        <v>0</v>
      </c>
      <c r="AT190" s="2" t="str">
        <f t="shared" si="43"/>
        <v/>
      </c>
      <c r="AU190" s="31" t="s">
        <v>116</v>
      </c>
      <c r="AV190" s="3">
        <f t="shared" si="44"/>
        <v>0</v>
      </c>
      <c r="AW190" s="3">
        <f t="shared" si="45"/>
        <v>0</v>
      </c>
      <c r="AX190" s="3">
        <f t="shared" si="46"/>
        <v>0</v>
      </c>
      <c r="AY190" s="3">
        <f t="shared" si="47"/>
        <v>0</v>
      </c>
      <c r="AZ190" s="3">
        <f t="shared" si="48"/>
        <v>0</v>
      </c>
      <c r="BA190" s="32">
        <f t="shared" si="49"/>
        <v>0</v>
      </c>
      <c r="BB190" s="2" t="str">
        <f t="shared" si="50"/>
        <v/>
      </c>
    </row>
    <row r="191" spans="1:54" ht="14.4">
      <c r="A191" s="13" t="s">
        <v>161</v>
      </c>
      <c r="B191" s="13"/>
      <c r="C191" s="14" t="str">
        <f>IFERROR(VLOOKUP($B191,'Cost Library'!$A$2:$M$159,2,FALSE),"")</f>
        <v/>
      </c>
      <c r="D191" s="14" t="str">
        <f>IFERROR(VLOOKUP($B191,'Cost Library'!$A$2:$M$159,3,FALSE),"")</f>
        <v/>
      </c>
      <c r="E191" s="13"/>
      <c r="F191" s="13"/>
      <c r="G191" s="13" t="str">
        <f>IFERROR(VLOOKUP($B191,'Cost Library'!$A$2:$M$159,5,FALSE),"")</f>
        <v/>
      </c>
      <c r="H191" s="13"/>
      <c r="I191" s="13"/>
      <c r="J191" s="13"/>
      <c r="K191" s="13"/>
      <c r="L191" s="13">
        <v>1</v>
      </c>
      <c r="M191" s="14" t="str">
        <f>IFERROR(VLOOKUP($B191,'Cost Library'!$A$2:$M$159,6,FALSE),"")</f>
        <v/>
      </c>
      <c r="N191" s="15">
        <f>IFERROR(VLOOKUP($B191,'Cost Library'!$A$2:$M$159,7,FALSE),0)</f>
        <v>0</v>
      </c>
      <c r="O191" s="15">
        <f>IFERROR(VLOOKUP($B191,'Cost Library'!$A$2:$M$159,8,FALSE),0)</f>
        <v>0</v>
      </c>
      <c r="P191" s="15">
        <f>IFERROR(VLOOKUP($B191,'Cost Library'!$A$2:$M$159,9,FALSE),0)</f>
        <v>0</v>
      </c>
      <c r="Q191" s="16"/>
      <c r="R191" s="16" t="s">
        <v>116</v>
      </c>
      <c r="S191" s="17">
        <f t="shared" si="34"/>
        <v>0</v>
      </c>
      <c r="T191" s="18">
        <f>'Project Inputs'!$C$15</f>
        <v>0.1</v>
      </c>
      <c r="U191" s="17">
        <f t="shared" si="35"/>
        <v>0</v>
      </c>
      <c r="V191" s="11" t="s">
        <v>247</v>
      </c>
      <c r="W191" s="14" t="str">
        <f>IFERROR(VLOOKUP($B191,'Cost Library'!$A$2:$M$159,10,FALSE),"")</f>
        <v/>
      </c>
      <c r="X191" s="11"/>
      <c r="Y191" s="11"/>
      <c r="Z191" s="11"/>
      <c r="AA191" s="11"/>
      <c r="AB191" s="11"/>
      <c r="AC191" s="11"/>
      <c r="AD191" s="30"/>
      <c r="AE191" s="31"/>
      <c r="AF191" s="3">
        <f t="shared" si="36"/>
        <v>0</v>
      </c>
      <c r="AG191" s="31"/>
      <c r="AH191" s="31"/>
      <c r="AI191" s="3">
        <f t="shared" si="37"/>
        <v>0</v>
      </c>
      <c r="AJ191" s="31"/>
      <c r="AK191" s="31"/>
      <c r="AL191" s="3">
        <f t="shared" si="38"/>
        <v>0</v>
      </c>
      <c r="AM191" s="3">
        <f>IF($A191&lt;&gt;"Yes",0,IF($R191="Detailed Breakdown",$AF191,$S191*IFERROR(VLOOKUP($B191,'Cost Library'!$A$2:$Q$159,14,FALSE),0.4)))</f>
        <v>0</v>
      </c>
      <c r="AN191" s="3">
        <f>IF($A191&lt;&gt;"Yes",0,IF($R191="Detailed Breakdown",$AI191,$S191*IFERROR(VLOOKUP($B191,'Cost Library'!$A$2:$Q$159,15,FALSE),0.5)))</f>
        <v>0</v>
      </c>
      <c r="AO191" s="3">
        <f>IF($A191&lt;&gt;"Yes",0,IF($R191="Detailed Breakdown",$AJ191+$AK191,$S191*IFERROR(VLOOKUP($B191,'Cost Library'!$A$2:$Q$159,16,FALSE),0.1)))</f>
        <v>0</v>
      </c>
      <c r="AP191" s="3">
        <f t="shared" si="39"/>
        <v>0</v>
      </c>
      <c r="AQ191" s="32">
        <f t="shared" si="40"/>
        <v>0</v>
      </c>
      <c r="AR191" s="32">
        <f t="shared" si="41"/>
        <v>0</v>
      </c>
      <c r="AS191" s="32">
        <f t="shared" si="42"/>
        <v>0</v>
      </c>
      <c r="AT191" s="2" t="str">
        <f t="shared" si="43"/>
        <v/>
      </c>
      <c r="AU191" s="31" t="s">
        <v>116</v>
      </c>
      <c r="AV191" s="3">
        <f t="shared" si="44"/>
        <v>0</v>
      </c>
      <c r="AW191" s="3">
        <f t="shared" si="45"/>
        <v>0</v>
      </c>
      <c r="AX191" s="3">
        <f t="shared" si="46"/>
        <v>0</v>
      </c>
      <c r="AY191" s="3">
        <f t="shared" si="47"/>
        <v>0</v>
      </c>
      <c r="AZ191" s="3">
        <f t="shared" si="48"/>
        <v>0</v>
      </c>
      <c r="BA191" s="32">
        <f t="shared" si="49"/>
        <v>0</v>
      </c>
      <c r="BB191" s="2" t="str">
        <f t="shared" si="50"/>
        <v/>
      </c>
    </row>
    <row r="192" spans="1:54" ht="14.4">
      <c r="A192" s="13" t="s">
        <v>161</v>
      </c>
      <c r="B192" s="13"/>
      <c r="C192" s="14" t="str">
        <f>IFERROR(VLOOKUP($B192,'Cost Library'!$A$2:$M$159,2,FALSE),"")</f>
        <v/>
      </c>
      <c r="D192" s="14" t="str">
        <f>IFERROR(VLOOKUP($B192,'Cost Library'!$A$2:$M$159,3,FALSE),"")</f>
        <v/>
      </c>
      <c r="E192" s="13"/>
      <c r="F192" s="13"/>
      <c r="G192" s="13" t="str">
        <f>IFERROR(VLOOKUP($B192,'Cost Library'!$A$2:$M$159,5,FALSE),"")</f>
        <v/>
      </c>
      <c r="H192" s="13"/>
      <c r="I192" s="13"/>
      <c r="J192" s="13"/>
      <c r="K192" s="13"/>
      <c r="L192" s="13">
        <v>1</v>
      </c>
      <c r="M192" s="14" t="str">
        <f>IFERROR(VLOOKUP($B192,'Cost Library'!$A$2:$M$159,6,FALSE),"")</f>
        <v/>
      </c>
      <c r="N192" s="15">
        <f>IFERROR(VLOOKUP($B192,'Cost Library'!$A$2:$M$159,7,FALSE),0)</f>
        <v>0</v>
      </c>
      <c r="O192" s="15">
        <f>IFERROR(VLOOKUP($B192,'Cost Library'!$A$2:$M$159,8,FALSE),0)</f>
        <v>0</v>
      </c>
      <c r="P192" s="15">
        <f>IFERROR(VLOOKUP($B192,'Cost Library'!$A$2:$M$159,9,FALSE),0)</f>
        <v>0</v>
      </c>
      <c r="Q192" s="16"/>
      <c r="R192" s="16" t="s">
        <v>116</v>
      </c>
      <c r="S192" s="17">
        <f t="shared" si="34"/>
        <v>0</v>
      </c>
      <c r="T192" s="18">
        <f>'Project Inputs'!$C$15</f>
        <v>0.1</v>
      </c>
      <c r="U192" s="17">
        <f t="shared" si="35"/>
        <v>0</v>
      </c>
      <c r="V192" s="11" t="s">
        <v>247</v>
      </c>
      <c r="W192" s="14" t="str">
        <f>IFERROR(VLOOKUP($B192,'Cost Library'!$A$2:$M$159,10,FALSE),"")</f>
        <v/>
      </c>
      <c r="X192" s="11"/>
      <c r="Y192" s="11"/>
      <c r="Z192" s="11"/>
      <c r="AA192" s="11"/>
      <c r="AB192" s="11"/>
      <c r="AC192" s="11"/>
      <c r="AD192" s="30"/>
      <c r="AE192" s="31"/>
      <c r="AF192" s="3">
        <f t="shared" si="36"/>
        <v>0</v>
      </c>
      <c r="AG192" s="31"/>
      <c r="AH192" s="31"/>
      <c r="AI192" s="3">
        <f t="shared" si="37"/>
        <v>0</v>
      </c>
      <c r="AJ192" s="31"/>
      <c r="AK192" s="31"/>
      <c r="AL192" s="3">
        <f t="shared" si="38"/>
        <v>0</v>
      </c>
      <c r="AM192" s="3">
        <f>IF($A192&lt;&gt;"Yes",0,IF($R192="Detailed Breakdown",$AF192,$S192*IFERROR(VLOOKUP($B192,'Cost Library'!$A$2:$Q$159,14,FALSE),0.4)))</f>
        <v>0</v>
      </c>
      <c r="AN192" s="3">
        <f>IF($A192&lt;&gt;"Yes",0,IF($R192="Detailed Breakdown",$AI192,$S192*IFERROR(VLOOKUP($B192,'Cost Library'!$A$2:$Q$159,15,FALSE),0.5)))</f>
        <v>0</v>
      </c>
      <c r="AO192" s="3">
        <f>IF($A192&lt;&gt;"Yes",0,IF($R192="Detailed Breakdown",$AJ192+$AK192,$S192*IFERROR(VLOOKUP($B192,'Cost Library'!$A$2:$Q$159,16,FALSE),0.1)))</f>
        <v>0</v>
      </c>
      <c r="AP192" s="3">
        <f t="shared" si="39"/>
        <v>0</v>
      </c>
      <c r="AQ192" s="32">
        <f t="shared" si="40"/>
        <v>0</v>
      </c>
      <c r="AR192" s="32">
        <f t="shared" si="41"/>
        <v>0</v>
      </c>
      <c r="AS192" s="32">
        <f t="shared" si="42"/>
        <v>0</v>
      </c>
      <c r="AT192" s="2" t="str">
        <f t="shared" si="43"/>
        <v/>
      </c>
      <c r="AU192" s="31" t="s">
        <v>116</v>
      </c>
      <c r="AV192" s="3">
        <f t="shared" si="44"/>
        <v>0</v>
      </c>
      <c r="AW192" s="3">
        <f t="shared" si="45"/>
        <v>0</v>
      </c>
      <c r="AX192" s="3">
        <f t="shared" si="46"/>
        <v>0</v>
      </c>
      <c r="AY192" s="3">
        <f t="shared" si="47"/>
        <v>0</v>
      </c>
      <c r="AZ192" s="3">
        <f t="shared" si="48"/>
        <v>0</v>
      </c>
      <c r="BA192" s="32">
        <f t="shared" si="49"/>
        <v>0</v>
      </c>
      <c r="BB192" s="2" t="str">
        <f t="shared" si="50"/>
        <v/>
      </c>
    </row>
    <row r="193" spans="1:54" ht="14.4">
      <c r="A193" s="13" t="s">
        <v>161</v>
      </c>
      <c r="B193" s="13"/>
      <c r="C193" s="14" t="str">
        <f>IFERROR(VLOOKUP($B193,'Cost Library'!$A$2:$M$159,2,FALSE),"")</f>
        <v/>
      </c>
      <c r="D193" s="14" t="str">
        <f>IFERROR(VLOOKUP($B193,'Cost Library'!$A$2:$M$159,3,FALSE),"")</f>
        <v/>
      </c>
      <c r="E193" s="13"/>
      <c r="F193" s="13"/>
      <c r="G193" s="13" t="str">
        <f>IFERROR(VLOOKUP($B193,'Cost Library'!$A$2:$M$159,5,FALSE),"")</f>
        <v/>
      </c>
      <c r="H193" s="13"/>
      <c r="I193" s="13"/>
      <c r="J193" s="13"/>
      <c r="K193" s="13"/>
      <c r="L193" s="13">
        <v>1</v>
      </c>
      <c r="M193" s="14" t="str">
        <f>IFERROR(VLOOKUP($B193,'Cost Library'!$A$2:$M$159,6,FALSE),"")</f>
        <v/>
      </c>
      <c r="N193" s="15">
        <f>IFERROR(VLOOKUP($B193,'Cost Library'!$A$2:$M$159,7,FALSE),0)</f>
        <v>0</v>
      </c>
      <c r="O193" s="15">
        <f>IFERROR(VLOOKUP($B193,'Cost Library'!$A$2:$M$159,8,FALSE),0)</f>
        <v>0</v>
      </c>
      <c r="P193" s="15">
        <f>IFERROR(VLOOKUP($B193,'Cost Library'!$A$2:$M$159,9,FALSE),0)</f>
        <v>0</v>
      </c>
      <c r="Q193" s="16"/>
      <c r="R193" s="16" t="s">
        <v>116</v>
      </c>
      <c r="S193" s="17">
        <f t="shared" si="34"/>
        <v>0</v>
      </c>
      <c r="T193" s="18">
        <f>'Project Inputs'!$C$15</f>
        <v>0.1</v>
      </c>
      <c r="U193" s="17">
        <f t="shared" si="35"/>
        <v>0</v>
      </c>
      <c r="V193" s="11" t="s">
        <v>247</v>
      </c>
      <c r="W193" s="14" t="str">
        <f>IFERROR(VLOOKUP($B193,'Cost Library'!$A$2:$M$159,10,FALSE),"")</f>
        <v/>
      </c>
      <c r="X193" s="11"/>
      <c r="Y193" s="11"/>
      <c r="Z193" s="11"/>
      <c r="AA193" s="11"/>
      <c r="AB193" s="11"/>
      <c r="AC193" s="11"/>
      <c r="AD193" s="30"/>
      <c r="AE193" s="31"/>
      <c r="AF193" s="3">
        <f t="shared" si="36"/>
        <v>0</v>
      </c>
      <c r="AG193" s="31"/>
      <c r="AH193" s="31"/>
      <c r="AI193" s="3">
        <f t="shared" si="37"/>
        <v>0</v>
      </c>
      <c r="AJ193" s="31"/>
      <c r="AK193" s="31"/>
      <c r="AL193" s="3">
        <f t="shared" si="38"/>
        <v>0</v>
      </c>
      <c r="AM193" s="3">
        <f>IF($A193&lt;&gt;"Yes",0,IF($R193="Detailed Breakdown",$AF193,$S193*IFERROR(VLOOKUP($B193,'Cost Library'!$A$2:$Q$159,14,FALSE),0.4)))</f>
        <v>0</v>
      </c>
      <c r="AN193" s="3">
        <f>IF($A193&lt;&gt;"Yes",0,IF($R193="Detailed Breakdown",$AI193,$S193*IFERROR(VLOOKUP($B193,'Cost Library'!$A$2:$Q$159,15,FALSE),0.5)))</f>
        <v>0</v>
      </c>
      <c r="AO193" s="3">
        <f>IF($A193&lt;&gt;"Yes",0,IF($R193="Detailed Breakdown",$AJ193+$AK193,$S193*IFERROR(VLOOKUP($B193,'Cost Library'!$A$2:$Q$159,16,FALSE),0.1)))</f>
        <v>0</v>
      </c>
      <c r="AP193" s="3">
        <f t="shared" si="39"/>
        <v>0</v>
      </c>
      <c r="AQ193" s="32">
        <f t="shared" si="40"/>
        <v>0</v>
      </c>
      <c r="AR193" s="32">
        <f t="shared" si="41"/>
        <v>0</v>
      </c>
      <c r="AS193" s="32">
        <f t="shared" si="42"/>
        <v>0</v>
      </c>
      <c r="AT193" s="2" t="str">
        <f t="shared" si="43"/>
        <v/>
      </c>
      <c r="AU193" s="31" t="s">
        <v>116</v>
      </c>
      <c r="AV193" s="3">
        <f t="shared" si="44"/>
        <v>0</v>
      </c>
      <c r="AW193" s="3">
        <f t="shared" si="45"/>
        <v>0</v>
      </c>
      <c r="AX193" s="3">
        <f t="shared" si="46"/>
        <v>0</v>
      </c>
      <c r="AY193" s="3">
        <f t="shared" si="47"/>
        <v>0</v>
      </c>
      <c r="AZ193" s="3">
        <f t="shared" si="48"/>
        <v>0</v>
      </c>
      <c r="BA193" s="32">
        <f t="shared" si="49"/>
        <v>0</v>
      </c>
      <c r="BB193" s="2" t="str">
        <f t="shared" si="50"/>
        <v/>
      </c>
    </row>
    <row r="194" spans="1:54" ht="14.4">
      <c r="A194" s="13" t="s">
        <v>161</v>
      </c>
      <c r="B194" s="13"/>
      <c r="C194" s="14" t="str">
        <f>IFERROR(VLOOKUP($B194,'Cost Library'!$A$2:$M$159,2,FALSE),"")</f>
        <v/>
      </c>
      <c r="D194" s="14" t="str">
        <f>IFERROR(VLOOKUP($B194,'Cost Library'!$A$2:$M$159,3,FALSE),"")</f>
        <v/>
      </c>
      <c r="E194" s="13"/>
      <c r="F194" s="13"/>
      <c r="G194" s="13" t="str">
        <f>IFERROR(VLOOKUP($B194,'Cost Library'!$A$2:$M$159,5,FALSE),"")</f>
        <v/>
      </c>
      <c r="H194" s="13"/>
      <c r="I194" s="13"/>
      <c r="J194" s="13"/>
      <c r="K194" s="13"/>
      <c r="L194" s="13">
        <v>1</v>
      </c>
      <c r="M194" s="14" t="str">
        <f>IFERROR(VLOOKUP($B194,'Cost Library'!$A$2:$M$159,6,FALSE),"")</f>
        <v/>
      </c>
      <c r="N194" s="15">
        <f>IFERROR(VLOOKUP($B194,'Cost Library'!$A$2:$M$159,7,FALSE),0)</f>
        <v>0</v>
      </c>
      <c r="O194" s="15">
        <f>IFERROR(VLOOKUP($B194,'Cost Library'!$A$2:$M$159,8,FALSE),0)</f>
        <v>0</v>
      </c>
      <c r="P194" s="15">
        <f>IFERROR(VLOOKUP($B194,'Cost Library'!$A$2:$M$159,9,FALSE),0)</f>
        <v>0</v>
      </c>
      <c r="Q194" s="16"/>
      <c r="R194" s="16" t="s">
        <v>116</v>
      </c>
      <c r="S194" s="17">
        <f t="shared" ref="S194:S251" si="51">IF($A194&lt;&gt;"Yes",0,IF($R194="Detailed Breakdown",$AL194,IF($R194="Contractor Quote",$Q194,IF($R194="Low",$L194*$N194,IF($R194="High",$L194*$P194,$L194*$O194)))))</f>
        <v>0</v>
      </c>
      <c r="T194" s="18">
        <f>'Project Inputs'!$C$15</f>
        <v>0.1</v>
      </c>
      <c r="U194" s="17">
        <f t="shared" ref="U194:U251" si="52">IF($A194&lt;&gt;"Yes",0,$S194*(1+$T194))</f>
        <v>0</v>
      </c>
      <c r="V194" s="11" t="s">
        <v>247</v>
      </c>
      <c r="W194" s="14" t="str">
        <f>IFERROR(VLOOKUP($B194,'Cost Library'!$A$2:$M$159,10,FALSE),"")</f>
        <v/>
      </c>
      <c r="X194" s="11"/>
      <c r="Y194" s="11"/>
      <c r="Z194" s="11"/>
      <c r="AA194" s="11"/>
      <c r="AB194" s="11"/>
      <c r="AC194" s="11"/>
      <c r="AD194" s="30"/>
      <c r="AE194" s="31"/>
      <c r="AF194" s="3">
        <f t="shared" ref="AF194:AF251" si="53">IF(OR(AD194="",AE194=""),0,AD194*AE194)</f>
        <v>0</v>
      </c>
      <c r="AG194" s="31"/>
      <c r="AH194" s="31"/>
      <c r="AI194" s="3">
        <f t="shared" ref="AI194:AI251" si="54">IF(OR(AG194="",AH194=""),0,AG194*AH194)</f>
        <v>0</v>
      </c>
      <c r="AJ194" s="31"/>
      <c r="AK194" s="31"/>
      <c r="AL194" s="3">
        <f t="shared" ref="AL194:AL251" si="55">SUM(AF194,AI194,AJ194,AK194)</f>
        <v>0</v>
      </c>
      <c r="AM194" s="3">
        <f>IF($A194&lt;&gt;"Yes",0,IF($R194="Detailed Breakdown",$AF194,$S194*IFERROR(VLOOKUP($B194,'Cost Library'!$A$2:$Q$159,14,FALSE),0.4)))</f>
        <v>0</v>
      </c>
      <c r="AN194" s="3">
        <f>IF($A194&lt;&gt;"Yes",0,IF($R194="Detailed Breakdown",$AI194,$S194*IFERROR(VLOOKUP($B194,'Cost Library'!$A$2:$Q$159,15,FALSE),0.5)))</f>
        <v>0</v>
      </c>
      <c r="AO194" s="3">
        <f>IF($A194&lt;&gt;"Yes",0,IF($R194="Detailed Breakdown",$AJ194+$AK194,$S194*IFERROR(VLOOKUP($B194,'Cost Library'!$A$2:$Q$159,16,FALSE),0.1)))</f>
        <v>0</v>
      </c>
      <c r="AP194" s="3">
        <f t="shared" ref="AP194:AP251" si="56">IF($A194&lt;&gt;"Yes",0,$U194-$S194)</f>
        <v>0</v>
      </c>
      <c r="AQ194" s="32">
        <f t="shared" ref="AQ194:AQ251" si="57">IF($S194=0,0,$AM194/$S194)</f>
        <v>0</v>
      </c>
      <c r="AR194" s="32">
        <f t="shared" ref="AR194:AR251" si="58">IF($S194=0,0,$AN194/$S194)</f>
        <v>0</v>
      </c>
      <c r="AS194" s="32">
        <f t="shared" ref="AS194:AS251" si="59">IF($S194=0,0,$AO194/$S194)</f>
        <v>0</v>
      </c>
      <c r="AT194" s="2" t="str">
        <f t="shared" ref="AT194:AT251" si="60">IF($A194&lt;&gt;"Yes","",IF($R194="Detailed Breakdown","Detailed input",IF($R194="Contractor Quote","Estimated allocation - request vendor split","Planning allocation")))</f>
        <v/>
      </c>
      <c r="AU194" s="31" t="s">
        <v>116</v>
      </c>
      <c r="AV194" s="3">
        <f t="shared" ref="AV194:AV251" si="61">IF($A194&lt;&gt;"Yes",0,IF($AU194="Low",$L194*$N194,IF($AU194="High",$L194*$P194,$L194*$O194)))</f>
        <v>0</v>
      </c>
      <c r="AW194" s="3">
        <f t="shared" ref="AW194:AW251" si="62">IF($A194&lt;&gt;"Yes",0,$AV194*(1+$T194))</f>
        <v>0</v>
      </c>
      <c r="AX194" s="3">
        <f t="shared" ref="AX194:AX251" si="63">IF(AND($A194="Yes",$AL194&gt;0),$AL194*(1+$T194),0)</f>
        <v>0</v>
      </c>
      <c r="AY194" s="3">
        <f t="shared" ref="AY194:AY251" si="64">IF($AX194&gt;0,$AW194,0)</f>
        <v>0</v>
      </c>
      <c r="AZ194" s="3">
        <f t="shared" ref="AZ194:AZ251" si="65">IF($AX194&gt;0,$AX194-$AY194,0)</f>
        <v>0</v>
      </c>
      <c r="BA194" s="32">
        <f t="shared" ref="BA194:BA251" si="66">IF($AY194=0,0,$AZ194/$AY194)</f>
        <v>0</v>
      </c>
      <c r="BB194" s="2" t="str">
        <f t="shared" ref="BB194:BB251" si="67">IF($A194&lt;&gt;"Yes","",IF($Q194&gt;0,"Quoted",IF($AL194&gt;0,"Detailed","Ballpark")))</f>
        <v/>
      </c>
    </row>
    <row r="195" spans="1:54" ht="14.4">
      <c r="A195" s="13" t="s">
        <v>161</v>
      </c>
      <c r="B195" s="13"/>
      <c r="C195" s="14" t="str">
        <f>IFERROR(VLOOKUP($B195,'Cost Library'!$A$2:$M$159,2,FALSE),"")</f>
        <v/>
      </c>
      <c r="D195" s="14" t="str">
        <f>IFERROR(VLOOKUP($B195,'Cost Library'!$A$2:$M$159,3,FALSE),"")</f>
        <v/>
      </c>
      <c r="E195" s="13"/>
      <c r="F195" s="13"/>
      <c r="G195" s="13" t="str">
        <f>IFERROR(VLOOKUP($B195,'Cost Library'!$A$2:$M$159,5,FALSE),"")</f>
        <v/>
      </c>
      <c r="H195" s="13"/>
      <c r="I195" s="13"/>
      <c r="J195" s="13"/>
      <c r="K195" s="13"/>
      <c r="L195" s="13">
        <v>1</v>
      </c>
      <c r="M195" s="14" t="str">
        <f>IFERROR(VLOOKUP($B195,'Cost Library'!$A$2:$M$159,6,FALSE),"")</f>
        <v/>
      </c>
      <c r="N195" s="15">
        <f>IFERROR(VLOOKUP($B195,'Cost Library'!$A$2:$M$159,7,FALSE),0)</f>
        <v>0</v>
      </c>
      <c r="O195" s="15">
        <f>IFERROR(VLOOKUP($B195,'Cost Library'!$A$2:$M$159,8,FALSE),0)</f>
        <v>0</v>
      </c>
      <c r="P195" s="15">
        <f>IFERROR(VLOOKUP($B195,'Cost Library'!$A$2:$M$159,9,FALSE),0)</f>
        <v>0</v>
      </c>
      <c r="Q195" s="16"/>
      <c r="R195" s="16" t="s">
        <v>116</v>
      </c>
      <c r="S195" s="17">
        <f t="shared" si="51"/>
        <v>0</v>
      </c>
      <c r="T195" s="18">
        <f>'Project Inputs'!$C$15</f>
        <v>0.1</v>
      </c>
      <c r="U195" s="17">
        <f t="shared" si="52"/>
        <v>0</v>
      </c>
      <c r="V195" s="11" t="s">
        <v>247</v>
      </c>
      <c r="W195" s="14" t="str">
        <f>IFERROR(VLOOKUP($B195,'Cost Library'!$A$2:$M$159,10,FALSE),"")</f>
        <v/>
      </c>
      <c r="X195" s="11"/>
      <c r="Y195" s="11"/>
      <c r="Z195" s="11"/>
      <c r="AA195" s="11"/>
      <c r="AB195" s="11"/>
      <c r="AC195" s="11"/>
      <c r="AD195" s="30"/>
      <c r="AE195" s="31"/>
      <c r="AF195" s="3">
        <f t="shared" si="53"/>
        <v>0</v>
      </c>
      <c r="AG195" s="31"/>
      <c r="AH195" s="31"/>
      <c r="AI195" s="3">
        <f t="shared" si="54"/>
        <v>0</v>
      </c>
      <c r="AJ195" s="31"/>
      <c r="AK195" s="31"/>
      <c r="AL195" s="3">
        <f t="shared" si="55"/>
        <v>0</v>
      </c>
      <c r="AM195" s="3">
        <f>IF($A195&lt;&gt;"Yes",0,IF($R195="Detailed Breakdown",$AF195,$S195*IFERROR(VLOOKUP($B195,'Cost Library'!$A$2:$Q$159,14,FALSE),0.4)))</f>
        <v>0</v>
      </c>
      <c r="AN195" s="3">
        <f>IF($A195&lt;&gt;"Yes",0,IF($R195="Detailed Breakdown",$AI195,$S195*IFERROR(VLOOKUP($B195,'Cost Library'!$A$2:$Q$159,15,FALSE),0.5)))</f>
        <v>0</v>
      </c>
      <c r="AO195" s="3">
        <f>IF($A195&lt;&gt;"Yes",0,IF($R195="Detailed Breakdown",$AJ195+$AK195,$S195*IFERROR(VLOOKUP($B195,'Cost Library'!$A$2:$Q$159,16,FALSE),0.1)))</f>
        <v>0</v>
      </c>
      <c r="AP195" s="3">
        <f t="shared" si="56"/>
        <v>0</v>
      </c>
      <c r="AQ195" s="32">
        <f t="shared" si="57"/>
        <v>0</v>
      </c>
      <c r="AR195" s="32">
        <f t="shared" si="58"/>
        <v>0</v>
      </c>
      <c r="AS195" s="32">
        <f t="shared" si="59"/>
        <v>0</v>
      </c>
      <c r="AT195" s="2" t="str">
        <f t="shared" si="60"/>
        <v/>
      </c>
      <c r="AU195" s="31" t="s">
        <v>116</v>
      </c>
      <c r="AV195" s="3">
        <f t="shared" si="61"/>
        <v>0</v>
      </c>
      <c r="AW195" s="3">
        <f t="shared" si="62"/>
        <v>0</v>
      </c>
      <c r="AX195" s="3">
        <f t="shared" si="63"/>
        <v>0</v>
      </c>
      <c r="AY195" s="3">
        <f t="shared" si="64"/>
        <v>0</v>
      </c>
      <c r="AZ195" s="3">
        <f t="shared" si="65"/>
        <v>0</v>
      </c>
      <c r="BA195" s="32">
        <f t="shared" si="66"/>
        <v>0</v>
      </c>
      <c r="BB195" s="2" t="str">
        <f t="shared" si="67"/>
        <v/>
      </c>
    </row>
    <row r="196" spans="1:54" ht="14.4">
      <c r="A196" s="13" t="s">
        <v>161</v>
      </c>
      <c r="B196" s="13"/>
      <c r="C196" s="14" t="str">
        <f>IFERROR(VLOOKUP($B196,'Cost Library'!$A$2:$M$159,2,FALSE),"")</f>
        <v/>
      </c>
      <c r="D196" s="14" t="str">
        <f>IFERROR(VLOOKUP($B196,'Cost Library'!$A$2:$M$159,3,FALSE),"")</f>
        <v/>
      </c>
      <c r="E196" s="13"/>
      <c r="F196" s="13"/>
      <c r="G196" s="13" t="str">
        <f>IFERROR(VLOOKUP($B196,'Cost Library'!$A$2:$M$159,5,FALSE),"")</f>
        <v/>
      </c>
      <c r="H196" s="13"/>
      <c r="I196" s="13"/>
      <c r="J196" s="13"/>
      <c r="K196" s="13"/>
      <c r="L196" s="13">
        <v>1</v>
      </c>
      <c r="M196" s="14" t="str">
        <f>IFERROR(VLOOKUP($B196,'Cost Library'!$A$2:$M$159,6,FALSE),"")</f>
        <v/>
      </c>
      <c r="N196" s="15">
        <f>IFERROR(VLOOKUP($B196,'Cost Library'!$A$2:$M$159,7,FALSE),0)</f>
        <v>0</v>
      </c>
      <c r="O196" s="15">
        <f>IFERROR(VLOOKUP($B196,'Cost Library'!$A$2:$M$159,8,FALSE),0)</f>
        <v>0</v>
      </c>
      <c r="P196" s="15">
        <f>IFERROR(VLOOKUP($B196,'Cost Library'!$A$2:$M$159,9,FALSE),0)</f>
        <v>0</v>
      </c>
      <c r="Q196" s="16"/>
      <c r="R196" s="16" t="s">
        <v>116</v>
      </c>
      <c r="S196" s="17">
        <f t="shared" si="51"/>
        <v>0</v>
      </c>
      <c r="T196" s="18">
        <f>'Project Inputs'!$C$15</f>
        <v>0.1</v>
      </c>
      <c r="U196" s="17">
        <f t="shared" si="52"/>
        <v>0</v>
      </c>
      <c r="V196" s="11" t="s">
        <v>247</v>
      </c>
      <c r="W196" s="14" t="str">
        <f>IFERROR(VLOOKUP($B196,'Cost Library'!$A$2:$M$159,10,FALSE),"")</f>
        <v/>
      </c>
      <c r="X196" s="11"/>
      <c r="Y196" s="11"/>
      <c r="Z196" s="11"/>
      <c r="AA196" s="11"/>
      <c r="AB196" s="11"/>
      <c r="AC196" s="11"/>
      <c r="AD196" s="30"/>
      <c r="AE196" s="31"/>
      <c r="AF196" s="3">
        <f t="shared" si="53"/>
        <v>0</v>
      </c>
      <c r="AG196" s="31"/>
      <c r="AH196" s="31"/>
      <c r="AI196" s="3">
        <f t="shared" si="54"/>
        <v>0</v>
      </c>
      <c r="AJ196" s="31"/>
      <c r="AK196" s="31"/>
      <c r="AL196" s="3">
        <f t="shared" si="55"/>
        <v>0</v>
      </c>
      <c r="AM196" s="3">
        <f>IF($A196&lt;&gt;"Yes",0,IF($R196="Detailed Breakdown",$AF196,$S196*IFERROR(VLOOKUP($B196,'Cost Library'!$A$2:$Q$159,14,FALSE),0.4)))</f>
        <v>0</v>
      </c>
      <c r="AN196" s="3">
        <f>IF($A196&lt;&gt;"Yes",0,IF($R196="Detailed Breakdown",$AI196,$S196*IFERROR(VLOOKUP($B196,'Cost Library'!$A$2:$Q$159,15,FALSE),0.5)))</f>
        <v>0</v>
      </c>
      <c r="AO196" s="3">
        <f>IF($A196&lt;&gt;"Yes",0,IF($R196="Detailed Breakdown",$AJ196+$AK196,$S196*IFERROR(VLOOKUP($B196,'Cost Library'!$A$2:$Q$159,16,FALSE),0.1)))</f>
        <v>0</v>
      </c>
      <c r="AP196" s="3">
        <f t="shared" si="56"/>
        <v>0</v>
      </c>
      <c r="AQ196" s="32">
        <f t="shared" si="57"/>
        <v>0</v>
      </c>
      <c r="AR196" s="32">
        <f t="shared" si="58"/>
        <v>0</v>
      </c>
      <c r="AS196" s="32">
        <f t="shared" si="59"/>
        <v>0</v>
      </c>
      <c r="AT196" s="2" t="str">
        <f t="shared" si="60"/>
        <v/>
      </c>
      <c r="AU196" s="31" t="s">
        <v>116</v>
      </c>
      <c r="AV196" s="3">
        <f t="shared" si="61"/>
        <v>0</v>
      </c>
      <c r="AW196" s="3">
        <f t="shared" si="62"/>
        <v>0</v>
      </c>
      <c r="AX196" s="3">
        <f t="shared" si="63"/>
        <v>0</v>
      </c>
      <c r="AY196" s="3">
        <f t="shared" si="64"/>
        <v>0</v>
      </c>
      <c r="AZ196" s="3">
        <f t="shared" si="65"/>
        <v>0</v>
      </c>
      <c r="BA196" s="32">
        <f t="shared" si="66"/>
        <v>0</v>
      </c>
      <c r="BB196" s="2" t="str">
        <f t="shared" si="67"/>
        <v/>
      </c>
    </row>
    <row r="197" spans="1:54" ht="14.4">
      <c r="A197" s="13" t="s">
        <v>161</v>
      </c>
      <c r="B197" s="13"/>
      <c r="C197" s="14" t="str">
        <f>IFERROR(VLOOKUP($B197,'Cost Library'!$A$2:$M$159,2,FALSE),"")</f>
        <v/>
      </c>
      <c r="D197" s="14" t="str">
        <f>IFERROR(VLOOKUP($B197,'Cost Library'!$A$2:$M$159,3,FALSE),"")</f>
        <v/>
      </c>
      <c r="E197" s="13"/>
      <c r="F197" s="13"/>
      <c r="G197" s="13" t="str">
        <f>IFERROR(VLOOKUP($B197,'Cost Library'!$A$2:$M$159,5,FALSE),"")</f>
        <v/>
      </c>
      <c r="H197" s="13"/>
      <c r="I197" s="13"/>
      <c r="J197" s="13"/>
      <c r="K197" s="13"/>
      <c r="L197" s="13">
        <v>1</v>
      </c>
      <c r="M197" s="14" t="str">
        <f>IFERROR(VLOOKUP($B197,'Cost Library'!$A$2:$M$159,6,FALSE),"")</f>
        <v/>
      </c>
      <c r="N197" s="15">
        <f>IFERROR(VLOOKUP($B197,'Cost Library'!$A$2:$M$159,7,FALSE),0)</f>
        <v>0</v>
      </c>
      <c r="O197" s="15">
        <f>IFERROR(VLOOKUP($B197,'Cost Library'!$A$2:$M$159,8,FALSE),0)</f>
        <v>0</v>
      </c>
      <c r="P197" s="15">
        <f>IFERROR(VLOOKUP($B197,'Cost Library'!$A$2:$M$159,9,FALSE),0)</f>
        <v>0</v>
      </c>
      <c r="Q197" s="16"/>
      <c r="R197" s="16" t="s">
        <v>116</v>
      </c>
      <c r="S197" s="17">
        <f t="shared" si="51"/>
        <v>0</v>
      </c>
      <c r="T197" s="18">
        <f>'Project Inputs'!$C$15</f>
        <v>0.1</v>
      </c>
      <c r="U197" s="17">
        <f t="shared" si="52"/>
        <v>0</v>
      </c>
      <c r="V197" s="11" t="s">
        <v>247</v>
      </c>
      <c r="W197" s="14" t="str">
        <f>IFERROR(VLOOKUP($B197,'Cost Library'!$A$2:$M$159,10,FALSE),"")</f>
        <v/>
      </c>
      <c r="X197" s="11"/>
      <c r="Y197" s="11"/>
      <c r="Z197" s="11"/>
      <c r="AA197" s="11"/>
      <c r="AB197" s="11"/>
      <c r="AC197" s="11"/>
      <c r="AD197" s="30"/>
      <c r="AE197" s="31"/>
      <c r="AF197" s="3">
        <f t="shared" si="53"/>
        <v>0</v>
      </c>
      <c r="AG197" s="31"/>
      <c r="AH197" s="31"/>
      <c r="AI197" s="3">
        <f t="shared" si="54"/>
        <v>0</v>
      </c>
      <c r="AJ197" s="31"/>
      <c r="AK197" s="31"/>
      <c r="AL197" s="3">
        <f t="shared" si="55"/>
        <v>0</v>
      </c>
      <c r="AM197" s="3">
        <f>IF($A197&lt;&gt;"Yes",0,IF($R197="Detailed Breakdown",$AF197,$S197*IFERROR(VLOOKUP($B197,'Cost Library'!$A$2:$Q$159,14,FALSE),0.4)))</f>
        <v>0</v>
      </c>
      <c r="AN197" s="3">
        <f>IF($A197&lt;&gt;"Yes",0,IF($R197="Detailed Breakdown",$AI197,$S197*IFERROR(VLOOKUP($B197,'Cost Library'!$A$2:$Q$159,15,FALSE),0.5)))</f>
        <v>0</v>
      </c>
      <c r="AO197" s="3">
        <f>IF($A197&lt;&gt;"Yes",0,IF($R197="Detailed Breakdown",$AJ197+$AK197,$S197*IFERROR(VLOOKUP($B197,'Cost Library'!$A$2:$Q$159,16,FALSE),0.1)))</f>
        <v>0</v>
      </c>
      <c r="AP197" s="3">
        <f t="shared" si="56"/>
        <v>0</v>
      </c>
      <c r="AQ197" s="32">
        <f t="shared" si="57"/>
        <v>0</v>
      </c>
      <c r="AR197" s="32">
        <f t="shared" si="58"/>
        <v>0</v>
      </c>
      <c r="AS197" s="32">
        <f t="shared" si="59"/>
        <v>0</v>
      </c>
      <c r="AT197" s="2" t="str">
        <f t="shared" si="60"/>
        <v/>
      </c>
      <c r="AU197" s="31" t="s">
        <v>116</v>
      </c>
      <c r="AV197" s="3">
        <f t="shared" si="61"/>
        <v>0</v>
      </c>
      <c r="AW197" s="3">
        <f t="shared" si="62"/>
        <v>0</v>
      </c>
      <c r="AX197" s="3">
        <f t="shared" si="63"/>
        <v>0</v>
      </c>
      <c r="AY197" s="3">
        <f t="shared" si="64"/>
        <v>0</v>
      </c>
      <c r="AZ197" s="3">
        <f t="shared" si="65"/>
        <v>0</v>
      </c>
      <c r="BA197" s="32">
        <f t="shared" si="66"/>
        <v>0</v>
      </c>
      <c r="BB197" s="2" t="str">
        <f t="shared" si="67"/>
        <v/>
      </c>
    </row>
    <row r="198" spans="1:54" ht="14.4">
      <c r="A198" s="13" t="s">
        <v>161</v>
      </c>
      <c r="B198" s="13"/>
      <c r="C198" s="14" t="str">
        <f>IFERROR(VLOOKUP($B198,'Cost Library'!$A$2:$M$159,2,FALSE),"")</f>
        <v/>
      </c>
      <c r="D198" s="14" t="str">
        <f>IFERROR(VLOOKUP($B198,'Cost Library'!$A$2:$M$159,3,FALSE),"")</f>
        <v/>
      </c>
      <c r="E198" s="13"/>
      <c r="F198" s="13"/>
      <c r="G198" s="13" t="str">
        <f>IFERROR(VLOOKUP($B198,'Cost Library'!$A$2:$M$159,5,FALSE),"")</f>
        <v/>
      </c>
      <c r="H198" s="13"/>
      <c r="I198" s="13"/>
      <c r="J198" s="13"/>
      <c r="K198" s="13"/>
      <c r="L198" s="13">
        <v>1</v>
      </c>
      <c r="M198" s="14" t="str">
        <f>IFERROR(VLOOKUP($B198,'Cost Library'!$A$2:$M$159,6,FALSE),"")</f>
        <v/>
      </c>
      <c r="N198" s="15">
        <f>IFERROR(VLOOKUP($B198,'Cost Library'!$A$2:$M$159,7,FALSE),0)</f>
        <v>0</v>
      </c>
      <c r="O198" s="15">
        <f>IFERROR(VLOOKUP($B198,'Cost Library'!$A$2:$M$159,8,FALSE),0)</f>
        <v>0</v>
      </c>
      <c r="P198" s="15">
        <f>IFERROR(VLOOKUP($B198,'Cost Library'!$A$2:$M$159,9,FALSE),0)</f>
        <v>0</v>
      </c>
      <c r="Q198" s="16"/>
      <c r="R198" s="16" t="s">
        <v>116</v>
      </c>
      <c r="S198" s="17">
        <f t="shared" si="51"/>
        <v>0</v>
      </c>
      <c r="T198" s="18">
        <f>'Project Inputs'!$C$15</f>
        <v>0.1</v>
      </c>
      <c r="U198" s="17">
        <f t="shared" si="52"/>
        <v>0</v>
      </c>
      <c r="V198" s="11" t="s">
        <v>247</v>
      </c>
      <c r="W198" s="14" t="str">
        <f>IFERROR(VLOOKUP($B198,'Cost Library'!$A$2:$M$159,10,FALSE),"")</f>
        <v/>
      </c>
      <c r="X198" s="11"/>
      <c r="Y198" s="11"/>
      <c r="Z198" s="11"/>
      <c r="AA198" s="11"/>
      <c r="AB198" s="11"/>
      <c r="AC198" s="11"/>
      <c r="AD198" s="30"/>
      <c r="AE198" s="31"/>
      <c r="AF198" s="3">
        <f t="shared" si="53"/>
        <v>0</v>
      </c>
      <c r="AG198" s="31"/>
      <c r="AH198" s="31"/>
      <c r="AI198" s="3">
        <f t="shared" si="54"/>
        <v>0</v>
      </c>
      <c r="AJ198" s="31"/>
      <c r="AK198" s="31"/>
      <c r="AL198" s="3">
        <f t="shared" si="55"/>
        <v>0</v>
      </c>
      <c r="AM198" s="3">
        <f>IF($A198&lt;&gt;"Yes",0,IF($R198="Detailed Breakdown",$AF198,$S198*IFERROR(VLOOKUP($B198,'Cost Library'!$A$2:$Q$159,14,FALSE),0.4)))</f>
        <v>0</v>
      </c>
      <c r="AN198" s="3">
        <f>IF($A198&lt;&gt;"Yes",0,IF($R198="Detailed Breakdown",$AI198,$S198*IFERROR(VLOOKUP($B198,'Cost Library'!$A$2:$Q$159,15,FALSE),0.5)))</f>
        <v>0</v>
      </c>
      <c r="AO198" s="3">
        <f>IF($A198&lt;&gt;"Yes",0,IF($R198="Detailed Breakdown",$AJ198+$AK198,$S198*IFERROR(VLOOKUP($B198,'Cost Library'!$A$2:$Q$159,16,FALSE),0.1)))</f>
        <v>0</v>
      </c>
      <c r="AP198" s="3">
        <f t="shared" si="56"/>
        <v>0</v>
      </c>
      <c r="AQ198" s="32">
        <f t="shared" si="57"/>
        <v>0</v>
      </c>
      <c r="AR198" s="32">
        <f t="shared" si="58"/>
        <v>0</v>
      </c>
      <c r="AS198" s="32">
        <f t="shared" si="59"/>
        <v>0</v>
      </c>
      <c r="AT198" s="2" t="str">
        <f t="shared" si="60"/>
        <v/>
      </c>
      <c r="AU198" s="31" t="s">
        <v>116</v>
      </c>
      <c r="AV198" s="3">
        <f t="shared" si="61"/>
        <v>0</v>
      </c>
      <c r="AW198" s="3">
        <f t="shared" si="62"/>
        <v>0</v>
      </c>
      <c r="AX198" s="3">
        <f t="shared" si="63"/>
        <v>0</v>
      </c>
      <c r="AY198" s="3">
        <f t="shared" si="64"/>
        <v>0</v>
      </c>
      <c r="AZ198" s="3">
        <f t="shared" si="65"/>
        <v>0</v>
      </c>
      <c r="BA198" s="32">
        <f t="shared" si="66"/>
        <v>0</v>
      </c>
      <c r="BB198" s="2" t="str">
        <f t="shared" si="67"/>
        <v/>
      </c>
    </row>
    <row r="199" spans="1:54" ht="14.4">
      <c r="A199" s="13" t="s">
        <v>161</v>
      </c>
      <c r="B199" s="13"/>
      <c r="C199" s="14" t="str">
        <f>IFERROR(VLOOKUP($B199,'Cost Library'!$A$2:$M$159,2,FALSE),"")</f>
        <v/>
      </c>
      <c r="D199" s="14" t="str">
        <f>IFERROR(VLOOKUP($B199,'Cost Library'!$A$2:$M$159,3,FALSE),"")</f>
        <v/>
      </c>
      <c r="E199" s="13"/>
      <c r="F199" s="13"/>
      <c r="G199" s="13" t="str">
        <f>IFERROR(VLOOKUP($B199,'Cost Library'!$A$2:$M$159,5,FALSE),"")</f>
        <v/>
      </c>
      <c r="H199" s="13"/>
      <c r="I199" s="13"/>
      <c r="J199" s="13"/>
      <c r="K199" s="13"/>
      <c r="L199" s="13">
        <v>1</v>
      </c>
      <c r="M199" s="14" t="str">
        <f>IFERROR(VLOOKUP($B199,'Cost Library'!$A$2:$M$159,6,FALSE),"")</f>
        <v/>
      </c>
      <c r="N199" s="15">
        <f>IFERROR(VLOOKUP($B199,'Cost Library'!$A$2:$M$159,7,FALSE),0)</f>
        <v>0</v>
      </c>
      <c r="O199" s="15">
        <f>IFERROR(VLOOKUP($B199,'Cost Library'!$A$2:$M$159,8,FALSE),0)</f>
        <v>0</v>
      </c>
      <c r="P199" s="15">
        <f>IFERROR(VLOOKUP($B199,'Cost Library'!$A$2:$M$159,9,FALSE),0)</f>
        <v>0</v>
      </c>
      <c r="Q199" s="16"/>
      <c r="R199" s="16" t="s">
        <v>116</v>
      </c>
      <c r="S199" s="17">
        <f t="shared" si="51"/>
        <v>0</v>
      </c>
      <c r="T199" s="18">
        <f>'Project Inputs'!$C$15</f>
        <v>0.1</v>
      </c>
      <c r="U199" s="17">
        <f t="shared" si="52"/>
        <v>0</v>
      </c>
      <c r="V199" s="11" t="s">
        <v>247</v>
      </c>
      <c r="W199" s="14" t="str">
        <f>IFERROR(VLOOKUP($B199,'Cost Library'!$A$2:$M$159,10,FALSE),"")</f>
        <v/>
      </c>
      <c r="X199" s="11"/>
      <c r="Y199" s="11"/>
      <c r="Z199" s="11"/>
      <c r="AA199" s="11"/>
      <c r="AB199" s="11"/>
      <c r="AC199" s="11"/>
      <c r="AD199" s="30"/>
      <c r="AE199" s="31"/>
      <c r="AF199" s="3">
        <f t="shared" si="53"/>
        <v>0</v>
      </c>
      <c r="AG199" s="31"/>
      <c r="AH199" s="31"/>
      <c r="AI199" s="3">
        <f t="shared" si="54"/>
        <v>0</v>
      </c>
      <c r="AJ199" s="31"/>
      <c r="AK199" s="31"/>
      <c r="AL199" s="3">
        <f t="shared" si="55"/>
        <v>0</v>
      </c>
      <c r="AM199" s="3">
        <f>IF($A199&lt;&gt;"Yes",0,IF($R199="Detailed Breakdown",$AF199,$S199*IFERROR(VLOOKUP($B199,'Cost Library'!$A$2:$Q$159,14,FALSE),0.4)))</f>
        <v>0</v>
      </c>
      <c r="AN199" s="3">
        <f>IF($A199&lt;&gt;"Yes",0,IF($R199="Detailed Breakdown",$AI199,$S199*IFERROR(VLOOKUP($B199,'Cost Library'!$A$2:$Q$159,15,FALSE),0.5)))</f>
        <v>0</v>
      </c>
      <c r="AO199" s="3">
        <f>IF($A199&lt;&gt;"Yes",0,IF($R199="Detailed Breakdown",$AJ199+$AK199,$S199*IFERROR(VLOOKUP($B199,'Cost Library'!$A$2:$Q$159,16,FALSE),0.1)))</f>
        <v>0</v>
      </c>
      <c r="AP199" s="3">
        <f t="shared" si="56"/>
        <v>0</v>
      </c>
      <c r="AQ199" s="32">
        <f t="shared" si="57"/>
        <v>0</v>
      </c>
      <c r="AR199" s="32">
        <f t="shared" si="58"/>
        <v>0</v>
      </c>
      <c r="AS199" s="32">
        <f t="shared" si="59"/>
        <v>0</v>
      </c>
      <c r="AT199" s="2" t="str">
        <f t="shared" si="60"/>
        <v/>
      </c>
      <c r="AU199" s="31" t="s">
        <v>116</v>
      </c>
      <c r="AV199" s="3">
        <f t="shared" si="61"/>
        <v>0</v>
      </c>
      <c r="AW199" s="3">
        <f t="shared" si="62"/>
        <v>0</v>
      </c>
      <c r="AX199" s="3">
        <f t="shared" si="63"/>
        <v>0</v>
      </c>
      <c r="AY199" s="3">
        <f t="shared" si="64"/>
        <v>0</v>
      </c>
      <c r="AZ199" s="3">
        <f t="shared" si="65"/>
        <v>0</v>
      </c>
      <c r="BA199" s="32">
        <f t="shared" si="66"/>
        <v>0</v>
      </c>
      <c r="BB199" s="2" t="str">
        <f t="shared" si="67"/>
        <v/>
      </c>
    </row>
    <row r="200" spans="1:54" ht="14.4">
      <c r="A200" s="13" t="s">
        <v>161</v>
      </c>
      <c r="B200" s="13"/>
      <c r="C200" s="14" t="str">
        <f>IFERROR(VLOOKUP($B200,'Cost Library'!$A$2:$M$159,2,FALSE),"")</f>
        <v/>
      </c>
      <c r="D200" s="14" t="str">
        <f>IFERROR(VLOOKUP($B200,'Cost Library'!$A$2:$M$159,3,FALSE),"")</f>
        <v/>
      </c>
      <c r="E200" s="13"/>
      <c r="F200" s="13"/>
      <c r="G200" s="13" t="str">
        <f>IFERROR(VLOOKUP($B200,'Cost Library'!$A$2:$M$159,5,FALSE),"")</f>
        <v/>
      </c>
      <c r="H200" s="13"/>
      <c r="I200" s="13"/>
      <c r="J200" s="13"/>
      <c r="K200" s="13"/>
      <c r="L200" s="13">
        <v>1</v>
      </c>
      <c r="M200" s="14" t="str">
        <f>IFERROR(VLOOKUP($B200,'Cost Library'!$A$2:$M$159,6,FALSE),"")</f>
        <v/>
      </c>
      <c r="N200" s="15">
        <f>IFERROR(VLOOKUP($B200,'Cost Library'!$A$2:$M$159,7,FALSE),0)</f>
        <v>0</v>
      </c>
      <c r="O200" s="15">
        <f>IFERROR(VLOOKUP($B200,'Cost Library'!$A$2:$M$159,8,FALSE),0)</f>
        <v>0</v>
      </c>
      <c r="P200" s="15">
        <f>IFERROR(VLOOKUP($B200,'Cost Library'!$A$2:$M$159,9,FALSE),0)</f>
        <v>0</v>
      </c>
      <c r="Q200" s="16"/>
      <c r="R200" s="16" t="s">
        <v>116</v>
      </c>
      <c r="S200" s="17">
        <f t="shared" si="51"/>
        <v>0</v>
      </c>
      <c r="T200" s="18">
        <f>'Project Inputs'!$C$15</f>
        <v>0.1</v>
      </c>
      <c r="U200" s="17">
        <f t="shared" si="52"/>
        <v>0</v>
      </c>
      <c r="V200" s="11" t="s">
        <v>247</v>
      </c>
      <c r="W200" s="14" t="str">
        <f>IFERROR(VLOOKUP($B200,'Cost Library'!$A$2:$M$159,10,FALSE),"")</f>
        <v/>
      </c>
      <c r="X200" s="11"/>
      <c r="Y200" s="11"/>
      <c r="Z200" s="11"/>
      <c r="AA200" s="11"/>
      <c r="AB200" s="11"/>
      <c r="AC200" s="11"/>
      <c r="AD200" s="30"/>
      <c r="AE200" s="31"/>
      <c r="AF200" s="3">
        <f t="shared" si="53"/>
        <v>0</v>
      </c>
      <c r="AG200" s="31"/>
      <c r="AH200" s="31"/>
      <c r="AI200" s="3">
        <f t="shared" si="54"/>
        <v>0</v>
      </c>
      <c r="AJ200" s="31"/>
      <c r="AK200" s="31"/>
      <c r="AL200" s="3">
        <f t="shared" si="55"/>
        <v>0</v>
      </c>
      <c r="AM200" s="3">
        <f>IF($A200&lt;&gt;"Yes",0,IF($R200="Detailed Breakdown",$AF200,$S200*IFERROR(VLOOKUP($B200,'Cost Library'!$A$2:$Q$159,14,FALSE),0.4)))</f>
        <v>0</v>
      </c>
      <c r="AN200" s="3">
        <f>IF($A200&lt;&gt;"Yes",0,IF($R200="Detailed Breakdown",$AI200,$S200*IFERROR(VLOOKUP($B200,'Cost Library'!$A$2:$Q$159,15,FALSE),0.5)))</f>
        <v>0</v>
      </c>
      <c r="AO200" s="3">
        <f>IF($A200&lt;&gt;"Yes",0,IF($R200="Detailed Breakdown",$AJ200+$AK200,$S200*IFERROR(VLOOKUP($B200,'Cost Library'!$A$2:$Q$159,16,FALSE),0.1)))</f>
        <v>0</v>
      </c>
      <c r="AP200" s="3">
        <f t="shared" si="56"/>
        <v>0</v>
      </c>
      <c r="AQ200" s="32">
        <f t="shared" si="57"/>
        <v>0</v>
      </c>
      <c r="AR200" s="32">
        <f t="shared" si="58"/>
        <v>0</v>
      </c>
      <c r="AS200" s="32">
        <f t="shared" si="59"/>
        <v>0</v>
      </c>
      <c r="AT200" s="2" t="str">
        <f t="shared" si="60"/>
        <v/>
      </c>
      <c r="AU200" s="31" t="s">
        <v>116</v>
      </c>
      <c r="AV200" s="3">
        <f t="shared" si="61"/>
        <v>0</v>
      </c>
      <c r="AW200" s="3">
        <f t="shared" si="62"/>
        <v>0</v>
      </c>
      <c r="AX200" s="3">
        <f t="shared" si="63"/>
        <v>0</v>
      </c>
      <c r="AY200" s="3">
        <f t="shared" si="64"/>
        <v>0</v>
      </c>
      <c r="AZ200" s="3">
        <f t="shared" si="65"/>
        <v>0</v>
      </c>
      <c r="BA200" s="32">
        <f t="shared" si="66"/>
        <v>0</v>
      </c>
      <c r="BB200" s="2" t="str">
        <f t="shared" si="67"/>
        <v/>
      </c>
    </row>
    <row r="201" spans="1:54" ht="14.4">
      <c r="A201" s="13" t="s">
        <v>161</v>
      </c>
      <c r="B201" s="13"/>
      <c r="C201" s="14" t="str">
        <f>IFERROR(VLOOKUP($B201,'Cost Library'!$A$2:$M$159,2,FALSE),"")</f>
        <v/>
      </c>
      <c r="D201" s="14" t="str">
        <f>IFERROR(VLOOKUP($B201,'Cost Library'!$A$2:$M$159,3,FALSE),"")</f>
        <v/>
      </c>
      <c r="E201" s="13"/>
      <c r="F201" s="13"/>
      <c r="G201" s="13" t="str">
        <f>IFERROR(VLOOKUP($B201,'Cost Library'!$A$2:$M$159,5,FALSE),"")</f>
        <v/>
      </c>
      <c r="H201" s="13"/>
      <c r="I201" s="13"/>
      <c r="J201" s="13"/>
      <c r="K201" s="13"/>
      <c r="L201" s="13">
        <v>1</v>
      </c>
      <c r="M201" s="14" t="str">
        <f>IFERROR(VLOOKUP($B201,'Cost Library'!$A$2:$M$159,6,FALSE),"")</f>
        <v/>
      </c>
      <c r="N201" s="15">
        <f>IFERROR(VLOOKUP($B201,'Cost Library'!$A$2:$M$159,7,FALSE),0)</f>
        <v>0</v>
      </c>
      <c r="O201" s="15">
        <f>IFERROR(VLOOKUP($B201,'Cost Library'!$A$2:$M$159,8,FALSE),0)</f>
        <v>0</v>
      </c>
      <c r="P201" s="15">
        <f>IFERROR(VLOOKUP($B201,'Cost Library'!$A$2:$M$159,9,FALSE),0)</f>
        <v>0</v>
      </c>
      <c r="Q201" s="16"/>
      <c r="R201" s="16" t="s">
        <v>116</v>
      </c>
      <c r="S201" s="17">
        <f t="shared" si="51"/>
        <v>0</v>
      </c>
      <c r="T201" s="18">
        <f>'Project Inputs'!$C$15</f>
        <v>0.1</v>
      </c>
      <c r="U201" s="17">
        <f t="shared" si="52"/>
        <v>0</v>
      </c>
      <c r="V201" s="11" t="s">
        <v>247</v>
      </c>
      <c r="W201" s="14" t="str">
        <f>IFERROR(VLOOKUP($B201,'Cost Library'!$A$2:$M$159,10,FALSE),"")</f>
        <v/>
      </c>
      <c r="X201" s="11"/>
      <c r="Y201" s="11"/>
      <c r="Z201" s="11"/>
      <c r="AA201" s="11"/>
      <c r="AB201" s="11"/>
      <c r="AC201" s="11"/>
      <c r="AD201" s="30"/>
      <c r="AE201" s="31"/>
      <c r="AF201" s="3">
        <f t="shared" si="53"/>
        <v>0</v>
      </c>
      <c r="AG201" s="31"/>
      <c r="AH201" s="31"/>
      <c r="AI201" s="3">
        <f t="shared" si="54"/>
        <v>0</v>
      </c>
      <c r="AJ201" s="31"/>
      <c r="AK201" s="31"/>
      <c r="AL201" s="3">
        <f t="shared" si="55"/>
        <v>0</v>
      </c>
      <c r="AM201" s="3">
        <f>IF($A201&lt;&gt;"Yes",0,IF($R201="Detailed Breakdown",$AF201,$S201*IFERROR(VLOOKUP($B201,'Cost Library'!$A$2:$Q$159,14,FALSE),0.4)))</f>
        <v>0</v>
      </c>
      <c r="AN201" s="3">
        <f>IF($A201&lt;&gt;"Yes",0,IF($R201="Detailed Breakdown",$AI201,$S201*IFERROR(VLOOKUP($B201,'Cost Library'!$A$2:$Q$159,15,FALSE),0.5)))</f>
        <v>0</v>
      </c>
      <c r="AO201" s="3">
        <f>IF($A201&lt;&gt;"Yes",0,IF($R201="Detailed Breakdown",$AJ201+$AK201,$S201*IFERROR(VLOOKUP($B201,'Cost Library'!$A$2:$Q$159,16,FALSE),0.1)))</f>
        <v>0</v>
      </c>
      <c r="AP201" s="3">
        <f t="shared" si="56"/>
        <v>0</v>
      </c>
      <c r="AQ201" s="32">
        <f t="shared" si="57"/>
        <v>0</v>
      </c>
      <c r="AR201" s="32">
        <f t="shared" si="58"/>
        <v>0</v>
      </c>
      <c r="AS201" s="32">
        <f t="shared" si="59"/>
        <v>0</v>
      </c>
      <c r="AT201" s="2" t="str">
        <f t="shared" si="60"/>
        <v/>
      </c>
      <c r="AU201" s="31" t="s">
        <v>116</v>
      </c>
      <c r="AV201" s="3">
        <f t="shared" si="61"/>
        <v>0</v>
      </c>
      <c r="AW201" s="3">
        <f t="shared" si="62"/>
        <v>0</v>
      </c>
      <c r="AX201" s="3">
        <f t="shared" si="63"/>
        <v>0</v>
      </c>
      <c r="AY201" s="3">
        <f t="shared" si="64"/>
        <v>0</v>
      </c>
      <c r="AZ201" s="3">
        <f t="shared" si="65"/>
        <v>0</v>
      </c>
      <c r="BA201" s="32">
        <f t="shared" si="66"/>
        <v>0</v>
      </c>
      <c r="BB201" s="2" t="str">
        <f t="shared" si="67"/>
        <v/>
      </c>
    </row>
    <row r="202" spans="1:54" ht="14.4">
      <c r="A202" s="13" t="s">
        <v>161</v>
      </c>
      <c r="B202" s="13"/>
      <c r="C202" s="14" t="str">
        <f>IFERROR(VLOOKUP($B202,'Cost Library'!$A$2:$M$159,2,FALSE),"")</f>
        <v/>
      </c>
      <c r="D202" s="14" t="str">
        <f>IFERROR(VLOOKUP($B202,'Cost Library'!$A$2:$M$159,3,FALSE),"")</f>
        <v/>
      </c>
      <c r="E202" s="13"/>
      <c r="F202" s="13"/>
      <c r="G202" s="13" t="str">
        <f>IFERROR(VLOOKUP($B202,'Cost Library'!$A$2:$M$159,5,FALSE),"")</f>
        <v/>
      </c>
      <c r="H202" s="13"/>
      <c r="I202" s="13"/>
      <c r="J202" s="13"/>
      <c r="K202" s="13"/>
      <c r="L202" s="13">
        <v>1</v>
      </c>
      <c r="M202" s="14" t="str">
        <f>IFERROR(VLOOKUP($B202,'Cost Library'!$A$2:$M$159,6,FALSE),"")</f>
        <v/>
      </c>
      <c r="N202" s="15">
        <f>IFERROR(VLOOKUP($B202,'Cost Library'!$A$2:$M$159,7,FALSE),0)</f>
        <v>0</v>
      </c>
      <c r="O202" s="15">
        <f>IFERROR(VLOOKUP($B202,'Cost Library'!$A$2:$M$159,8,FALSE),0)</f>
        <v>0</v>
      </c>
      <c r="P202" s="15">
        <f>IFERROR(VLOOKUP($B202,'Cost Library'!$A$2:$M$159,9,FALSE),0)</f>
        <v>0</v>
      </c>
      <c r="Q202" s="16"/>
      <c r="R202" s="16" t="s">
        <v>116</v>
      </c>
      <c r="S202" s="17">
        <f t="shared" si="51"/>
        <v>0</v>
      </c>
      <c r="T202" s="18">
        <f>'Project Inputs'!$C$15</f>
        <v>0.1</v>
      </c>
      <c r="U202" s="17">
        <f t="shared" si="52"/>
        <v>0</v>
      </c>
      <c r="V202" s="11" t="s">
        <v>247</v>
      </c>
      <c r="W202" s="14" t="str">
        <f>IFERROR(VLOOKUP($B202,'Cost Library'!$A$2:$M$159,10,FALSE),"")</f>
        <v/>
      </c>
      <c r="X202" s="11"/>
      <c r="Y202" s="11"/>
      <c r="Z202" s="11"/>
      <c r="AA202" s="11"/>
      <c r="AB202" s="11"/>
      <c r="AC202" s="11"/>
      <c r="AD202" s="30"/>
      <c r="AE202" s="31"/>
      <c r="AF202" s="3">
        <f t="shared" si="53"/>
        <v>0</v>
      </c>
      <c r="AG202" s="31"/>
      <c r="AH202" s="31"/>
      <c r="AI202" s="3">
        <f t="shared" si="54"/>
        <v>0</v>
      </c>
      <c r="AJ202" s="31"/>
      <c r="AK202" s="31"/>
      <c r="AL202" s="3">
        <f t="shared" si="55"/>
        <v>0</v>
      </c>
      <c r="AM202" s="3">
        <f>IF($A202&lt;&gt;"Yes",0,IF($R202="Detailed Breakdown",$AF202,$S202*IFERROR(VLOOKUP($B202,'Cost Library'!$A$2:$Q$159,14,FALSE),0.4)))</f>
        <v>0</v>
      </c>
      <c r="AN202" s="3">
        <f>IF($A202&lt;&gt;"Yes",0,IF($R202="Detailed Breakdown",$AI202,$S202*IFERROR(VLOOKUP($B202,'Cost Library'!$A$2:$Q$159,15,FALSE),0.5)))</f>
        <v>0</v>
      </c>
      <c r="AO202" s="3">
        <f>IF($A202&lt;&gt;"Yes",0,IF($R202="Detailed Breakdown",$AJ202+$AK202,$S202*IFERROR(VLOOKUP($B202,'Cost Library'!$A$2:$Q$159,16,FALSE),0.1)))</f>
        <v>0</v>
      </c>
      <c r="AP202" s="3">
        <f t="shared" si="56"/>
        <v>0</v>
      </c>
      <c r="AQ202" s="32">
        <f t="shared" si="57"/>
        <v>0</v>
      </c>
      <c r="AR202" s="32">
        <f t="shared" si="58"/>
        <v>0</v>
      </c>
      <c r="AS202" s="32">
        <f t="shared" si="59"/>
        <v>0</v>
      </c>
      <c r="AT202" s="2" t="str">
        <f t="shared" si="60"/>
        <v/>
      </c>
      <c r="AU202" s="31" t="s">
        <v>116</v>
      </c>
      <c r="AV202" s="3">
        <f t="shared" si="61"/>
        <v>0</v>
      </c>
      <c r="AW202" s="3">
        <f t="shared" si="62"/>
        <v>0</v>
      </c>
      <c r="AX202" s="3">
        <f t="shared" si="63"/>
        <v>0</v>
      </c>
      <c r="AY202" s="3">
        <f t="shared" si="64"/>
        <v>0</v>
      </c>
      <c r="AZ202" s="3">
        <f t="shared" si="65"/>
        <v>0</v>
      </c>
      <c r="BA202" s="32">
        <f t="shared" si="66"/>
        <v>0</v>
      </c>
      <c r="BB202" s="2" t="str">
        <f t="shared" si="67"/>
        <v/>
      </c>
    </row>
    <row r="203" spans="1:54" ht="14.4">
      <c r="A203" s="13" t="s">
        <v>161</v>
      </c>
      <c r="B203" s="13"/>
      <c r="C203" s="14" t="str">
        <f>IFERROR(VLOOKUP($B203,'Cost Library'!$A$2:$M$159,2,FALSE),"")</f>
        <v/>
      </c>
      <c r="D203" s="14" t="str">
        <f>IFERROR(VLOOKUP($B203,'Cost Library'!$A$2:$M$159,3,FALSE),"")</f>
        <v/>
      </c>
      <c r="E203" s="13"/>
      <c r="F203" s="13"/>
      <c r="G203" s="13" t="str">
        <f>IFERROR(VLOOKUP($B203,'Cost Library'!$A$2:$M$159,5,FALSE),"")</f>
        <v/>
      </c>
      <c r="H203" s="13"/>
      <c r="I203" s="13"/>
      <c r="J203" s="13"/>
      <c r="K203" s="13"/>
      <c r="L203" s="13">
        <v>1</v>
      </c>
      <c r="M203" s="14" t="str">
        <f>IFERROR(VLOOKUP($B203,'Cost Library'!$A$2:$M$159,6,FALSE),"")</f>
        <v/>
      </c>
      <c r="N203" s="15">
        <f>IFERROR(VLOOKUP($B203,'Cost Library'!$A$2:$M$159,7,FALSE),0)</f>
        <v>0</v>
      </c>
      <c r="O203" s="15">
        <f>IFERROR(VLOOKUP($B203,'Cost Library'!$A$2:$M$159,8,FALSE),0)</f>
        <v>0</v>
      </c>
      <c r="P203" s="15">
        <f>IFERROR(VLOOKUP($B203,'Cost Library'!$A$2:$M$159,9,FALSE),0)</f>
        <v>0</v>
      </c>
      <c r="Q203" s="16"/>
      <c r="R203" s="16" t="s">
        <v>116</v>
      </c>
      <c r="S203" s="17">
        <f t="shared" si="51"/>
        <v>0</v>
      </c>
      <c r="T203" s="18">
        <f>'Project Inputs'!$C$15</f>
        <v>0.1</v>
      </c>
      <c r="U203" s="17">
        <f t="shared" si="52"/>
        <v>0</v>
      </c>
      <c r="V203" s="11" t="s">
        <v>247</v>
      </c>
      <c r="W203" s="14" t="str">
        <f>IFERROR(VLOOKUP($B203,'Cost Library'!$A$2:$M$159,10,FALSE),"")</f>
        <v/>
      </c>
      <c r="X203" s="11"/>
      <c r="Y203" s="11"/>
      <c r="Z203" s="11"/>
      <c r="AA203" s="11"/>
      <c r="AB203" s="11"/>
      <c r="AC203" s="11"/>
      <c r="AD203" s="30"/>
      <c r="AE203" s="31"/>
      <c r="AF203" s="3">
        <f t="shared" si="53"/>
        <v>0</v>
      </c>
      <c r="AG203" s="31"/>
      <c r="AH203" s="31"/>
      <c r="AI203" s="3">
        <f t="shared" si="54"/>
        <v>0</v>
      </c>
      <c r="AJ203" s="31"/>
      <c r="AK203" s="31"/>
      <c r="AL203" s="3">
        <f t="shared" si="55"/>
        <v>0</v>
      </c>
      <c r="AM203" s="3">
        <f>IF($A203&lt;&gt;"Yes",0,IF($R203="Detailed Breakdown",$AF203,$S203*IFERROR(VLOOKUP($B203,'Cost Library'!$A$2:$Q$159,14,FALSE),0.4)))</f>
        <v>0</v>
      </c>
      <c r="AN203" s="3">
        <f>IF($A203&lt;&gt;"Yes",0,IF($R203="Detailed Breakdown",$AI203,$S203*IFERROR(VLOOKUP($B203,'Cost Library'!$A$2:$Q$159,15,FALSE),0.5)))</f>
        <v>0</v>
      </c>
      <c r="AO203" s="3">
        <f>IF($A203&lt;&gt;"Yes",0,IF($R203="Detailed Breakdown",$AJ203+$AK203,$S203*IFERROR(VLOOKUP($B203,'Cost Library'!$A$2:$Q$159,16,FALSE),0.1)))</f>
        <v>0</v>
      </c>
      <c r="AP203" s="3">
        <f t="shared" si="56"/>
        <v>0</v>
      </c>
      <c r="AQ203" s="32">
        <f t="shared" si="57"/>
        <v>0</v>
      </c>
      <c r="AR203" s="32">
        <f t="shared" si="58"/>
        <v>0</v>
      </c>
      <c r="AS203" s="32">
        <f t="shared" si="59"/>
        <v>0</v>
      </c>
      <c r="AT203" s="2" t="str">
        <f t="shared" si="60"/>
        <v/>
      </c>
      <c r="AU203" s="31" t="s">
        <v>116</v>
      </c>
      <c r="AV203" s="3">
        <f t="shared" si="61"/>
        <v>0</v>
      </c>
      <c r="AW203" s="3">
        <f t="shared" si="62"/>
        <v>0</v>
      </c>
      <c r="AX203" s="3">
        <f t="shared" si="63"/>
        <v>0</v>
      </c>
      <c r="AY203" s="3">
        <f t="shared" si="64"/>
        <v>0</v>
      </c>
      <c r="AZ203" s="3">
        <f t="shared" si="65"/>
        <v>0</v>
      </c>
      <c r="BA203" s="32">
        <f t="shared" si="66"/>
        <v>0</v>
      </c>
      <c r="BB203" s="2" t="str">
        <f t="shared" si="67"/>
        <v/>
      </c>
    </row>
    <row r="204" spans="1:54" ht="14.4">
      <c r="A204" s="13" t="s">
        <v>161</v>
      </c>
      <c r="B204" s="13"/>
      <c r="C204" s="14" t="str">
        <f>IFERROR(VLOOKUP($B204,'Cost Library'!$A$2:$M$159,2,FALSE),"")</f>
        <v/>
      </c>
      <c r="D204" s="14" t="str">
        <f>IFERROR(VLOOKUP($B204,'Cost Library'!$A$2:$M$159,3,FALSE),"")</f>
        <v/>
      </c>
      <c r="E204" s="13"/>
      <c r="F204" s="13"/>
      <c r="G204" s="13" t="str">
        <f>IFERROR(VLOOKUP($B204,'Cost Library'!$A$2:$M$159,5,FALSE),"")</f>
        <v/>
      </c>
      <c r="H204" s="13"/>
      <c r="I204" s="13"/>
      <c r="J204" s="13"/>
      <c r="K204" s="13"/>
      <c r="L204" s="13">
        <v>1</v>
      </c>
      <c r="M204" s="14" t="str">
        <f>IFERROR(VLOOKUP($B204,'Cost Library'!$A$2:$M$159,6,FALSE),"")</f>
        <v/>
      </c>
      <c r="N204" s="15">
        <f>IFERROR(VLOOKUP($B204,'Cost Library'!$A$2:$M$159,7,FALSE),0)</f>
        <v>0</v>
      </c>
      <c r="O204" s="15">
        <f>IFERROR(VLOOKUP($B204,'Cost Library'!$A$2:$M$159,8,FALSE),0)</f>
        <v>0</v>
      </c>
      <c r="P204" s="15">
        <f>IFERROR(VLOOKUP($B204,'Cost Library'!$A$2:$M$159,9,FALSE),0)</f>
        <v>0</v>
      </c>
      <c r="Q204" s="16"/>
      <c r="R204" s="16" t="s">
        <v>116</v>
      </c>
      <c r="S204" s="17">
        <f t="shared" si="51"/>
        <v>0</v>
      </c>
      <c r="T204" s="18">
        <f>'Project Inputs'!$C$15</f>
        <v>0.1</v>
      </c>
      <c r="U204" s="17">
        <f t="shared" si="52"/>
        <v>0</v>
      </c>
      <c r="V204" s="11" t="s">
        <v>247</v>
      </c>
      <c r="W204" s="14" t="str">
        <f>IFERROR(VLOOKUP($B204,'Cost Library'!$A$2:$M$159,10,FALSE),"")</f>
        <v/>
      </c>
      <c r="X204" s="11"/>
      <c r="Y204" s="11"/>
      <c r="Z204" s="11"/>
      <c r="AA204" s="11"/>
      <c r="AB204" s="11"/>
      <c r="AC204" s="11"/>
      <c r="AD204" s="30"/>
      <c r="AE204" s="31"/>
      <c r="AF204" s="3">
        <f t="shared" si="53"/>
        <v>0</v>
      </c>
      <c r="AG204" s="31"/>
      <c r="AH204" s="31"/>
      <c r="AI204" s="3">
        <f t="shared" si="54"/>
        <v>0</v>
      </c>
      <c r="AJ204" s="31"/>
      <c r="AK204" s="31"/>
      <c r="AL204" s="3">
        <f t="shared" si="55"/>
        <v>0</v>
      </c>
      <c r="AM204" s="3">
        <f>IF($A204&lt;&gt;"Yes",0,IF($R204="Detailed Breakdown",$AF204,$S204*IFERROR(VLOOKUP($B204,'Cost Library'!$A$2:$Q$159,14,FALSE),0.4)))</f>
        <v>0</v>
      </c>
      <c r="AN204" s="3">
        <f>IF($A204&lt;&gt;"Yes",0,IF($R204="Detailed Breakdown",$AI204,$S204*IFERROR(VLOOKUP($B204,'Cost Library'!$A$2:$Q$159,15,FALSE),0.5)))</f>
        <v>0</v>
      </c>
      <c r="AO204" s="3">
        <f>IF($A204&lt;&gt;"Yes",0,IF($R204="Detailed Breakdown",$AJ204+$AK204,$S204*IFERROR(VLOOKUP($B204,'Cost Library'!$A$2:$Q$159,16,FALSE),0.1)))</f>
        <v>0</v>
      </c>
      <c r="AP204" s="3">
        <f t="shared" si="56"/>
        <v>0</v>
      </c>
      <c r="AQ204" s="32">
        <f t="shared" si="57"/>
        <v>0</v>
      </c>
      <c r="AR204" s="32">
        <f t="shared" si="58"/>
        <v>0</v>
      </c>
      <c r="AS204" s="32">
        <f t="shared" si="59"/>
        <v>0</v>
      </c>
      <c r="AT204" s="2" t="str">
        <f t="shared" si="60"/>
        <v/>
      </c>
      <c r="AU204" s="31" t="s">
        <v>116</v>
      </c>
      <c r="AV204" s="3">
        <f t="shared" si="61"/>
        <v>0</v>
      </c>
      <c r="AW204" s="3">
        <f t="shared" si="62"/>
        <v>0</v>
      </c>
      <c r="AX204" s="3">
        <f t="shared" si="63"/>
        <v>0</v>
      </c>
      <c r="AY204" s="3">
        <f t="shared" si="64"/>
        <v>0</v>
      </c>
      <c r="AZ204" s="3">
        <f t="shared" si="65"/>
        <v>0</v>
      </c>
      <c r="BA204" s="32">
        <f t="shared" si="66"/>
        <v>0</v>
      </c>
      <c r="BB204" s="2" t="str">
        <f t="shared" si="67"/>
        <v/>
      </c>
    </row>
    <row r="205" spans="1:54" ht="14.4">
      <c r="A205" s="13" t="s">
        <v>161</v>
      </c>
      <c r="B205" s="13"/>
      <c r="C205" s="14" t="str">
        <f>IFERROR(VLOOKUP($B205,'Cost Library'!$A$2:$M$159,2,FALSE),"")</f>
        <v/>
      </c>
      <c r="D205" s="14" t="str">
        <f>IFERROR(VLOOKUP($B205,'Cost Library'!$A$2:$M$159,3,FALSE),"")</f>
        <v/>
      </c>
      <c r="E205" s="13"/>
      <c r="F205" s="13"/>
      <c r="G205" s="13" t="str">
        <f>IFERROR(VLOOKUP($B205,'Cost Library'!$A$2:$M$159,5,FALSE),"")</f>
        <v/>
      </c>
      <c r="H205" s="13"/>
      <c r="I205" s="13"/>
      <c r="J205" s="13"/>
      <c r="K205" s="13"/>
      <c r="L205" s="13">
        <v>1</v>
      </c>
      <c r="M205" s="14" t="str">
        <f>IFERROR(VLOOKUP($B205,'Cost Library'!$A$2:$M$159,6,FALSE),"")</f>
        <v/>
      </c>
      <c r="N205" s="15">
        <f>IFERROR(VLOOKUP($B205,'Cost Library'!$A$2:$M$159,7,FALSE),0)</f>
        <v>0</v>
      </c>
      <c r="O205" s="15">
        <f>IFERROR(VLOOKUP($B205,'Cost Library'!$A$2:$M$159,8,FALSE),0)</f>
        <v>0</v>
      </c>
      <c r="P205" s="15">
        <f>IFERROR(VLOOKUP($B205,'Cost Library'!$A$2:$M$159,9,FALSE),0)</f>
        <v>0</v>
      </c>
      <c r="Q205" s="16"/>
      <c r="R205" s="16" t="s">
        <v>116</v>
      </c>
      <c r="S205" s="17">
        <f t="shared" si="51"/>
        <v>0</v>
      </c>
      <c r="T205" s="18">
        <f>'Project Inputs'!$C$15</f>
        <v>0.1</v>
      </c>
      <c r="U205" s="17">
        <f t="shared" si="52"/>
        <v>0</v>
      </c>
      <c r="V205" s="11" t="s">
        <v>247</v>
      </c>
      <c r="W205" s="14" t="str">
        <f>IFERROR(VLOOKUP($B205,'Cost Library'!$A$2:$M$159,10,FALSE),"")</f>
        <v/>
      </c>
      <c r="X205" s="11"/>
      <c r="Y205" s="11"/>
      <c r="Z205" s="11"/>
      <c r="AA205" s="11"/>
      <c r="AB205" s="11"/>
      <c r="AC205" s="11"/>
      <c r="AD205" s="30"/>
      <c r="AE205" s="31"/>
      <c r="AF205" s="3">
        <f t="shared" si="53"/>
        <v>0</v>
      </c>
      <c r="AG205" s="31"/>
      <c r="AH205" s="31"/>
      <c r="AI205" s="3">
        <f t="shared" si="54"/>
        <v>0</v>
      </c>
      <c r="AJ205" s="31"/>
      <c r="AK205" s="31"/>
      <c r="AL205" s="3">
        <f t="shared" si="55"/>
        <v>0</v>
      </c>
      <c r="AM205" s="3">
        <f>IF($A205&lt;&gt;"Yes",0,IF($R205="Detailed Breakdown",$AF205,$S205*IFERROR(VLOOKUP($B205,'Cost Library'!$A$2:$Q$159,14,FALSE),0.4)))</f>
        <v>0</v>
      </c>
      <c r="AN205" s="3">
        <f>IF($A205&lt;&gt;"Yes",0,IF($R205="Detailed Breakdown",$AI205,$S205*IFERROR(VLOOKUP($B205,'Cost Library'!$A$2:$Q$159,15,FALSE),0.5)))</f>
        <v>0</v>
      </c>
      <c r="AO205" s="3">
        <f>IF($A205&lt;&gt;"Yes",0,IF($R205="Detailed Breakdown",$AJ205+$AK205,$S205*IFERROR(VLOOKUP($B205,'Cost Library'!$A$2:$Q$159,16,FALSE),0.1)))</f>
        <v>0</v>
      </c>
      <c r="AP205" s="3">
        <f t="shared" si="56"/>
        <v>0</v>
      </c>
      <c r="AQ205" s="32">
        <f t="shared" si="57"/>
        <v>0</v>
      </c>
      <c r="AR205" s="32">
        <f t="shared" si="58"/>
        <v>0</v>
      </c>
      <c r="AS205" s="32">
        <f t="shared" si="59"/>
        <v>0</v>
      </c>
      <c r="AT205" s="2" t="str">
        <f t="shared" si="60"/>
        <v/>
      </c>
      <c r="AU205" s="31" t="s">
        <v>116</v>
      </c>
      <c r="AV205" s="3">
        <f t="shared" si="61"/>
        <v>0</v>
      </c>
      <c r="AW205" s="3">
        <f t="shared" si="62"/>
        <v>0</v>
      </c>
      <c r="AX205" s="3">
        <f t="shared" si="63"/>
        <v>0</v>
      </c>
      <c r="AY205" s="3">
        <f t="shared" si="64"/>
        <v>0</v>
      </c>
      <c r="AZ205" s="3">
        <f t="shared" si="65"/>
        <v>0</v>
      </c>
      <c r="BA205" s="32">
        <f t="shared" si="66"/>
        <v>0</v>
      </c>
      <c r="BB205" s="2" t="str">
        <f t="shared" si="67"/>
        <v/>
      </c>
    </row>
    <row r="206" spans="1:54" ht="14.4">
      <c r="A206" s="13" t="s">
        <v>161</v>
      </c>
      <c r="B206" s="13"/>
      <c r="C206" s="14" t="str">
        <f>IFERROR(VLOOKUP($B206,'Cost Library'!$A$2:$M$159,2,FALSE),"")</f>
        <v/>
      </c>
      <c r="D206" s="14" t="str">
        <f>IFERROR(VLOOKUP($B206,'Cost Library'!$A$2:$M$159,3,FALSE),"")</f>
        <v/>
      </c>
      <c r="E206" s="13"/>
      <c r="F206" s="13"/>
      <c r="G206" s="13" t="str">
        <f>IFERROR(VLOOKUP($B206,'Cost Library'!$A$2:$M$159,5,FALSE),"")</f>
        <v/>
      </c>
      <c r="H206" s="13"/>
      <c r="I206" s="13"/>
      <c r="J206" s="13"/>
      <c r="K206" s="13"/>
      <c r="L206" s="13">
        <v>1</v>
      </c>
      <c r="M206" s="14" t="str">
        <f>IFERROR(VLOOKUP($B206,'Cost Library'!$A$2:$M$159,6,FALSE),"")</f>
        <v/>
      </c>
      <c r="N206" s="15">
        <f>IFERROR(VLOOKUP($B206,'Cost Library'!$A$2:$M$159,7,FALSE),0)</f>
        <v>0</v>
      </c>
      <c r="O206" s="15">
        <f>IFERROR(VLOOKUP($B206,'Cost Library'!$A$2:$M$159,8,FALSE),0)</f>
        <v>0</v>
      </c>
      <c r="P206" s="15">
        <f>IFERROR(VLOOKUP($B206,'Cost Library'!$A$2:$M$159,9,FALSE),0)</f>
        <v>0</v>
      </c>
      <c r="Q206" s="16"/>
      <c r="R206" s="16" t="s">
        <v>116</v>
      </c>
      <c r="S206" s="17">
        <f t="shared" si="51"/>
        <v>0</v>
      </c>
      <c r="T206" s="18">
        <f>'Project Inputs'!$C$15</f>
        <v>0.1</v>
      </c>
      <c r="U206" s="17">
        <f t="shared" si="52"/>
        <v>0</v>
      </c>
      <c r="V206" s="11" t="s">
        <v>247</v>
      </c>
      <c r="W206" s="14" t="str">
        <f>IFERROR(VLOOKUP($B206,'Cost Library'!$A$2:$M$159,10,FALSE),"")</f>
        <v/>
      </c>
      <c r="X206" s="11"/>
      <c r="Y206" s="11"/>
      <c r="Z206" s="11"/>
      <c r="AA206" s="11"/>
      <c r="AB206" s="11"/>
      <c r="AC206" s="11"/>
      <c r="AD206" s="30"/>
      <c r="AE206" s="31"/>
      <c r="AF206" s="3">
        <f t="shared" si="53"/>
        <v>0</v>
      </c>
      <c r="AG206" s="31"/>
      <c r="AH206" s="31"/>
      <c r="AI206" s="3">
        <f t="shared" si="54"/>
        <v>0</v>
      </c>
      <c r="AJ206" s="31"/>
      <c r="AK206" s="31"/>
      <c r="AL206" s="3">
        <f t="shared" si="55"/>
        <v>0</v>
      </c>
      <c r="AM206" s="3">
        <f>IF($A206&lt;&gt;"Yes",0,IF($R206="Detailed Breakdown",$AF206,$S206*IFERROR(VLOOKUP($B206,'Cost Library'!$A$2:$Q$159,14,FALSE),0.4)))</f>
        <v>0</v>
      </c>
      <c r="AN206" s="3">
        <f>IF($A206&lt;&gt;"Yes",0,IF($R206="Detailed Breakdown",$AI206,$S206*IFERROR(VLOOKUP($B206,'Cost Library'!$A$2:$Q$159,15,FALSE),0.5)))</f>
        <v>0</v>
      </c>
      <c r="AO206" s="3">
        <f>IF($A206&lt;&gt;"Yes",0,IF($R206="Detailed Breakdown",$AJ206+$AK206,$S206*IFERROR(VLOOKUP($B206,'Cost Library'!$A$2:$Q$159,16,FALSE),0.1)))</f>
        <v>0</v>
      </c>
      <c r="AP206" s="3">
        <f t="shared" si="56"/>
        <v>0</v>
      </c>
      <c r="AQ206" s="32">
        <f t="shared" si="57"/>
        <v>0</v>
      </c>
      <c r="AR206" s="32">
        <f t="shared" si="58"/>
        <v>0</v>
      </c>
      <c r="AS206" s="32">
        <f t="shared" si="59"/>
        <v>0</v>
      </c>
      <c r="AT206" s="2" t="str">
        <f t="shared" si="60"/>
        <v/>
      </c>
      <c r="AU206" s="31" t="s">
        <v>116</v>
      </c>
      <c r="AV206" s="3">
        <f t="shared" si="61"/>
        <v>0</v>
      </c>
      <c r="AW206" s="3">
        <f t="shared" si="62"/>
        <v>0</v>
      </c>
      <c r="AX206" s="3">
        <f t="shared" si="63"/>
        <v>0</v>
      </c>
      <c r="AY206" s="3">
        <f t="shared" si="64"/>
        <v>0</v>
      </c>
      <c r="AZ206" s="3">
        <f t="shared" si="65"/>
        <v>0</v>
      </c>
      <c r="BA206" s="32">
        <f t="shared" si="66"/>
        <v>0</v>
      </c>
      <c r="BB206" s="2" t="str">
        <f t="shared" si="67"/>
        <v/>
      </c>
    </row>
    <row r="207" spans="1:54" ht="14.4">
      <c r="A207" s="13" t="s">
        <v>161</v>
      </c>
      <c r="B207" s="13"/>
      <c r="C207" s="14" t="str">
        <f>IFERROR(VLOOKUP($B207,'Cost Library'!$A$2:$M$159,2,FALSE),"")</f>
        <v/>
      </c>
      <c r="D207" s="14" t="str">
        <f>IFERROR(VLOOKUP($B207,'Cost Library'!$A$2:$M$159,3,FALSE),"")</f>
        <v/>
      </c>
      <c r="E207" s="13"/>
      <c r="F207" s="13"/>
      <c r="G207" s="13" t="str">
        <f>IFERROR(VLOOKUP($B207,'Cost Library'!$A$2:$M$159,5,FALSE),"")</f>
        <v/>
      </c>
      <c r="H207" s="13"/>
      <c r="I207" s="13"/>
      <c r="J207" s="13"/>
      <c r="K207" s="13"/>
      <c r="L207" s="13">
        <v>1</v>
      </c>
      <c r="M207" s="14" t="str">
        <f>IFERROR(VLOOKUP($B207,'Cost Library'!$A$2:$M$159,6,FALSE),"")</f>
        <v/>
      </c>
      <c r="N207" s="15">
        <f>IFERROR(VLOOKUP($B207,'Cost Library'!$A$2:$M$159,7,FALSE),0)</f>
        <v>0</v>
      </c>
      <c r="O207" s="15">
        <f>IFERROR(VLOOKUP($B207,'Cost Library'!$A$2:$M$159,8,FALSE),0)</f>
        <v>0</v>
      </c>
      <c r="P207" s="15">
        <f>IFERROR(VLOOKUP($B207,'Cost Library'!$A$2:$M$159,9,FALSE),0)</f>
        <v>0</v>
      </c>
      <c r="Q207" s="16"/>
      <c r="R207" s="16" t="s">
        <v>116</v>
      </c>
      <c r="S207" s="17">
        <f t="shared" si="51"/>
        <v>0</v>
      </c>
      <c r="T207" s="18">
        <f>'Project Inputs'!$C$15</f>
        <v>0.1</v>
      </c>
      <c r="U207" s="17">
        <f t="shared" si="52"/>
        <v>0</v>
      </c>
      <c r="V207" s="11" t="s">
        <v>247</v>
      </c>
      <c r="W207" s="14" t="str">
        <f>IFERROR(VLOOKUP($B207,'Cost Library'!$A$2:$M$159,10,FALSE),"")</f>
        <v/>
      </c>
      <c r="X207" s="11"/>
      <c r="Y207" s="11"/>
      <c r="Z207" s="11"/>
      <c r="AA207" s="11"/>
      <c r="AB207" s="11"/>
      <c r="AC207" s="11"/>
      <c r="AD207" s="30"/>
      <c r="AE207" s="31"/>
      <c r="AF207" s="3">
        <f t="shared" si="53"/>
        <v>0</v>
      </c>
      <c r="AG207" s="31"/>
      <c r="AH207" s="31"/>
      <c r="AI207" s="3">
        <f t="shared" si="54"/>
        <v>0</v>
      </c>
      <c r="AJ207" s="31"/>
      <c r="AK207" s="31"/>
      <c r="AL207" s="3">
        <f t="shared" si="55"/>
        <v>0</v>
      </c>
      <c r="AM207" s="3">
        <f>IF($A207&lt;&gt;"Yes",0,IF($R207="Detailed Breakdown",$AF207,$S207*IFERROR(VLOOKUP($B207,'Cost Library'!$A$2:$Q$159,14,FALSE),0.4)))</f>
        <v>0</v>
      </c>
      <c r="AN207" s="3">
        <f>IF($A207&lt;&gt;"Yes",0,IF($R207="Detailed Breakdown",$AI207,$S207*IFERROR(VLOOKUP($B207,'Cost Library'!$A$2:$Q$159,15,FALSE),0.5)))</f>
        <v>0</v>
      </c>
      <c r="AO207" s="3">
        <f>IF($A207&lt;&gt;"Yes",0,IF($R207="Detailed Breakdown",$AJ207+$AK207,$S207*IFERROR(VLOOKUP($B207,'Cost Library'!$A$2:$Q$159,16,FALSE),0.1)))</f>
        <v>0</v>
      </c>
      <c r="AP207" s="3">
        <f t="shared" si="56"/>
        <v>0</v>
      </c>
      <c r="AQ207" s="32">
        <f t="shared" si="57"/>
        <v>0</v>
      </c>
      <c r="AR207" s="32">
        <f t="shared" si="58"/>
        <v>0</v>
      </c>
      <c r="AS207" s="32">
        <f t="shared" si="59"/>
        <v>0</v>
      </c>
      <c r="AT207" s="2" t="str">
        <f t="shared" si="60"/>
        <v/>
      </c>
      <c r="AU207" s="31" t="s">
        <v>116</v>
      </c>
      <c r="AV207" s="3">
        <f t="shared" si="61"/>
        <v>0</v>
      </c>
      <c r="AW207" s="3">
        <f t="shared" si="62"/>
        <v>0</v>
      </c>
      <c r="AX207" s="3">
        <f t="shared" si="63"/>
        <v>0</v>
      </c>
      <c r="AY207" s="3">
        <f t="shared" si="64"/>
        <v>0</v>
      </c>
      <c r="AZ207" s="3">
        <f t="shared" si="65"/>
        <v>0</v>
      </c>
      <c r="BA207" s="32">
        <f t="shared" si="66"/>
        <v>0</v>
      </c>
      <c r="BB207" s="2" t="str">
        <f t="shared" si="67"/>
        <v/>
      </c>
    </row>
    <row r="208" spans="1:54" ht="14.4">
      <c r="A208" s="13" t="s">
        <v>161</v>
      </c>
      <c r="B208" s="13"/>
      <c r="C208" s="14" t="str">
        <f>IFERROR(VLOOKUP($B208,'Cost Library'!$A$2:$M$159,2,FALSE),"")</f>
        <v/>
      </c>
      <c r="D208" s="14" t="str">
        <f>IFERROR(VLOOKUP($B208,'Cost Library'!$A$2:$M$159,3,FALSE),"")</f>
        <v/>
      </c>
      <c r="E208" s="13"/>
      <c r="F208" s="13"/>
      <c r="G208" s="13" t="str">
        <f>IFERROR(VLOOKUP($B208,'Cost Library'!$A$2:$M$159,5,FALSE),"")</f>
        <v/>
      </c>
      <c r="H208" s="13"/>
      <c r="I208" s="13"/>
      <c r="J208" s="13"/>
      <c r="K208" s="13"/>
      <c r="L208" s="13">
        <v>1</v>
      </c>
      <c r="M208" s="14" t="str">
        <f>IFERROR(VLOOKUP($B208,'Cost Library'!$A$2:$M$159,6,FALSE),"")</f>
        <v/>
      </c>
      <c r="N208" s="15">
        <f>IFERROR(VLOOKUP($B208,'Cost Library'!$A$2:$M$159,7,FALSE),0)</f>
        <v>0</v>
      </c>
      <c r="O208" s="15">
        <f>IFERROR(VLOOKUP($B208,'Cost Library'!$A$2:$M$159,8,FALSE),0)</f>
        <v>0</v>
      </c>
      <c r="P208" s="15">
        <f>IFERROR(VLOOKUP($B208,'Cost Library'!$A$2:$M$159,9,FALSE),0)</f>
        <v>0</v>
      </c>
      <c r="Q208" s="16"/>
      <c r="R208" s="16" t="s">
        <v>116</v>
      </c>
      <c r="S208" s="17">
        <f t="shared" si="51"/>
        <v>0</v>
      </c>
      <c r="T208" s="18">
        <f>'Project Inputs'!$C$15</f>
        <v>0.1</v>
      </c>
      <c r="U208" s="17">
        <f t="shared" si="52"/>
        <v>0</v>
      </c>
      <c r="V208" s="11" t="s">
        <v>247</v>
      </c>
      <c r="W208" s="14" t="str">
        <f>IFERROR(VLOOKUP($B208,'Cost Library'!$A$2:$M$159,10,FALSE),"")</f>
        <v/>
      </c>
      <c r="X208" s="11"/>
      <c r="Y208" s="11"/>
      <c r="Z208" s="11"/>
      <c r="AA208" s="11"/>
      <c r="AB208" s="11"/>
      <c r="AC208" s="11"/>
      <c r="AD208" s="30"/>
      <c r="AE208" s="31"/>
      <c r="AF208" s="3">
        <f t="shared" si="53"/>
        <v>0</v>
      </c>
      <c r="AG208" s="31"/>
      <c r="AH208" s="31"/>
      <c r="AI208" s="3">
        <f t="shared" si="54"/>
        <v>0</v>
      </c>
      <c r="AJ208" s="31"/>
      <c r="AK208" s="31"/>
      <c r="AL208" s="3">
        <f t="shared" si="55"/>
        <v>0</v>
      </c>
      <c r="AM208" s="3">
        <f>IF($A208&lt;&gt;"Yes",0,IF($R208="Detailed Breakdown",$AF208,$S208*IFERROR(VLOOKUP($B208,'Cost Library'!$A$2:$Q$159,14,FALSE),0.4)))</f>
        <v>0</v>
      </c>
      <c r="AN208" s="3">
        <f>IF($A208&lt;&gt;"Yes",0,IF($R208="Detailed Breakdown",$AI208,$S208*IFERROR(VLOOKUP($B208,'Cost Library'!$A$2:$Q$159,15,FALSE),0.5)))</f>
        <v>0</v>
      </c>
      <c r="AO208" s="3">
        <f>IF($A208&lt;&gt;"Yes",0,IF($R208="Detailed Breakdown",$AJ208+$AK208,$S208*IFERROR(VLOOKUP($B208,'Cost Library'!$A$2:$Q$159,16,FALSE),0.1)))</f>
        <v>0</v>
      </c>
      <c r="AP208" s="3">
        <f t="shared" si="56"/>
        <v>0</v>
      </c>
      <c r="AQ208" s="32">
        <f t="shared" si="57"/>
        <v>0</v>
      </c>
      <c r="AR208" s="32">
        <f t="shared" si="58"/>
        <v>0</v>
      </c>
      <c r="AS208" s="32">
        <f t="shared" si="59"/>
        <v>0</v>
      </c>
      <c r="AT208" s="2" t="str">
        <f t="shared" si="60"/>
        <v/>
      </c>
      <c r="AU208" s="31" t="s">
        <v>116</v>
      </c>
      <c r="AV208" s="3">
        <f t="shared" si="61"/>
        <v>0</v>
      </c>
      <c r="AW208" s="3">
        <f t="shared" si="62"/>
        <v>0</v>
      </c>
      <c r="AX208" s="3">
        <f t="shared" si="63"/>
        <v>0</v>
      </c>
      <c r="AY208" s="3">
        <f t="shared" si="64"/>
        <v>0</v>
      </c>
      <c r="AZ208" s="3">
        <f t="shared" si="65"/>
        <v>0</v>
      </c>
      <c r="BA208" s="32">
        <f t="shared" si="66"/>
        <v>0</v>
      </c>
      <c r="BB208" s="2" t="str">
        <f t="shared" si="67"/>
        <v/>
      </c>
    </row>
    <row r="209" spans="1:54" ht="14.4">
      <c r="A209" s="13" t="s">
        <v>161</v>
      </c>
      <c r="B209" s="13"/>
      <c r="C209" s="14" t="str">
        <f>IFERROR(VLOOKUP($B209,'Cost Library'!$A$2:$M$159,2,FALSE),"")</f>
        <v/>
      </c>
      <c r="D209" s="14" t="str">
        <f>IFERROR(VLOOKUP($B209,'Cost Library'!$A$2:$M$159,3,FALSE),"")</f>
        <v/>
      </c>
      <c r="E209" s="13"/>
      <c r="F209" s="13"/>
      <c r="G209" s="13" t="str">
        <f>IFERROR(VLOOKUP($B209,'Cost Library'!$A$2:$M$159,5,FALSE),"")</f>
        <v/>
      </c>
      <c r="H209" s="13"/>
      <c r="I209" s="13"/>
      <c r="J209" s="13"/>
      <c r="K209" s="13"/>
      <c r="L209" s="13">
        <v>1</v>
      </c>
      <c r="M209" s="14" t="str">
        <f>IFERROR(VLOOKUP($B209,'Cost Library'!$A$2:$M$159,6,FALSE),"")</f>
        <v/>
      </c>
      <c r="N209" s="15">
        <f>IFERROR(VLOOKUP($B209,'Cost Library'!$A$2:$M$159,7,FALSE),0)</f>
        <v>0</v>
      </c>
      <c r="O209" s="15">
        <f>IFERROR(VLOOKUP($B209,'Cost Library'!$A$2:$M$159,8,FALSE),0)</f>
        <v>0</v>
      </c>
      <c r="P209" s="15">
        <f>IFERROR(VLOOKUP($B209,'Cost Library'!$A$2:$M$159,9,FALSE),0)</f>
        <v>0</v>
      </c>
      <c r="Q209" s="16"/>
      <c r="R209" s="16" t="s">
        <v>116</v>
      </c>
      <c r="S209" s="17">
        <f t="shared" si="51"/>
        <v>0</v>
      </c>
      <c r="T209" s="18">
        <f>'Project Inputs'!$C$15</f>
        <v>0.1</v>
      </c>
      <c r="U209" s="17">
        <f t="shared" si="52"/>
        <v>0</v>
      </c>
      <c r="V209" s="11" t="s">
        <v>247</v>
      </c>
      <c r="W209" s="14" t="str">
        <f>IFERROR(VLOOKUP($B209,'Cost Library'!$A$2:$M$159,10,FALSE),"")</f>
        <v/>
      </c>
      <c r="X209" s="11"/>
      <c r="Y209" s="11"/>
      <c r="Z209" s="11"/>
      <c r="AA209" s="11"/>
      <c r="AB209" s="11"/>
      <c r="AC209" s="11"/>
      <c r="AD209" s="30"/>
      <c r="AE209" s="31"/>
      <c r="AF209" s="3">
        <f t="shared" si="53"/>
        <v>0</v>
      </c>
      <c r="AG209" s="31"/>
      <c r="AH209" s="31"/>
      <c r="AI209" s="3">
        <f t="shared" si="54"/>
        <v>0</v>
      </c>
      <c r="AJ209" s="31"/>
      <c r="AK209" s="31"/>
      <c r="AL209" s="3">
        <f t="shared" si="55"/>
        <v>0</v>
      </c>
      <c r="AM209" s="3">
        <f>IF($A209&lt;&gt;"Yes",0,IF($R209="Detailed Breakdown",$AF209,$S209*IFERROR(VLOOKUP($B209,'Cost Library'!$A$2:$Q$159,14,FALSE),0.4)))</f>
        <v>0</v>
      </c>
      <c r="AN209" s="3">
        <f>IF($A209&lt;&gt;"Yes",0,IF($R209="Detailed Breakdown",$AI209,$S209*IFERROR(VLOOKUP($B209,'Cost Library'!$A$2:$Q$159,15,FALSE),0.5)))</f>
        <v>0</v>
      </c>
      <c r="AO209" s="3">
        <f>IF($A209&lt;&gt;"Yes",0,IF($R209="Detailed Breakdown",$AJ209+$AK209,$S209*IFERROR(VLOOKUP($B209,'Cost Library'!$A$2:$Q$159,16,FALSE),0.1)))</f>
        <v>0</v>
      </c>
      <c r="AP209" s="3">
        <f t="shared" si="56"/>
        <v>0</v>
      </c>
      <c r="AQ209" s="32">
        <f t="shared" si="57"/>
        <v>0</v>
      </c>
      <c r="AR209" s="32">
        <f t="shared" si="58"/>
        <v>0</v>
      </c>
      <c r="AS209" s="32">
        <f t="shared" si="59"/>
        <v>0</v>
      </c>
      <c r="AT209" s="2" t="str">
        <f t="shared" si="60"/>
        <v/>
      </c>
      <c r="AU209" s="31" t="s">
        <v>116</v>
      </c>
      <c r="AV209" s="3">
        <f t="shared" si="61"/>
        <v>0</v>
      </c>
      <c r="AW209" s="3">
        <f t="shared" si="62"/>
        <v>0</v>
      </c>
      <c r="AX209" s="3">
        <f t="shared" si="63"/>
        <v>0</v>
      </c>
      <c r="AY209" s="3">
        <f t="shared" si="64"/>
        <v>0</v>
      </c>
      <c r="AZ209" s="3">
        <f t="shared" si="65"/>
        <v>0</v>
      </c>
      <c r="BA209" s="32">
        <f t="shared" si="66"/>
        <v>0</v>
      </c>
      <c r="BB209" s="2" t="str">
        <f t="shared" si="67"/>
        <v/>
      </c>
    </row>
    <row r="210" spans="1:54" ht="14.4">
      <c r="A210" s="13" t="s">
        <v>161</v>
      </c>
      <c r="B210" s="13"/>
      <c r="C210" s="14" t="str">
        <f>IFERROR(VLOOKUP($B210,'Cost Library'!$A$2:$M$159,2,FALSE),"")</f>
        <v/>
      </c>
      <c r="D210" s="14" t="str">
        <f>IFERROR(VLOOKUP($B210,'Cost Library'!$A$2:$M$159,3,FALSE),"")</f>
        <v/>
      </c>
      <c r="E210" s="13"/>
      <c r="F210" s="13"/>
      <c r="G210" s="13" t="str">
        <f>IFERROR(VLOOKUP($B210,'Cost Library'!$A$2:$M$159,5,FALSE),"")</f>
        <v/>
      </c>
      <c r="H210" s="13"/>
      <c r="I210" s="13"/>
      <c r="J210" s="13"/>
      <c r="K210" s="13"/>
      <c r="L210" s="13">
        <v>1</v>
      </c>
      <c r="M210" s="14" t="str">
        <f>IFERROR(VLOOKUP($B210,'Cost Library'!$A$2:$M$159,6,FALSE),"")</f>
        <v/>
      </c>
      <c r="N210" s="15">
        <f>IFERROR(VLOOKUP($B210,'Cost Library'!$A$2:$M$159,7,FALSE),0)</f>
        <v>0</v>
      </c>
      <c r="O210" s="15">
        <f>IFERROR(VLOOKUP($B210,'Cost Library'!$A$2:$M$159,8,FALSE),0)</f>
        <v>0</v>
      </c>
      <c r="P210" s="15">
        <f>IFERROR(VLOOKUP($B210,'Cost Library'!$A$2:$M$159,9,FALSE),0)</f>
        <v>0</v>
      </c>
      <c r="Q210" s="16"/>
      <c r="R210" s="16" t="s">
        <v>116</v>
      </c>
      <c r="S210" s="17">
        <f t="shared" si="51"/>
        <v>0</v>
      </c>
      <c r="T210" s="18">
        <f>'Project Inputs'!$C$15</f>
        <v>0.1</v>
      </c>
      <c r="U210" s="17">
        <f t="shared" si="52"/>
        <v>0</v>
      </c>
      <c r="V210" s="11" t="s">
        <v>247</v>
      </c>
      <c r="W210" s="14" t="str">
        <f>IFERROR(VLOOKUP($B210,'Cost Library'!$A$2:$M$159,10,FALSE),"")</f>
        <v/>
      </c>
      <c r="X210" s="11"/>
      <c r="Y210" s="11"/>
      <c r="Z210" s="11"/>
      <c r="AA210" s="11"/>
      <c r="AB210" s="11"/>
      <c r="AC210" s="11"/>
      <c r="AD210" s="30"/>
      <c r="AE210" s="31"/>
      <c r="AF210" s="3">
        <f t="shared" si="53"/>
        <v>0</v>
      </c>
      <c r="AG210" s="31"/>
      <c r="AH210" s="31"/>
      <c r="AI210" s="3">
        <f t="shared" si="54"/>
        <v>0</v>
      </c>
      <c r="AJ210" s="31"/>
      <c r="AK210" s="31"/>
      <c r="AL210" s="3">
        <f t="shared" si="55"/>
        <v>0</v>
      </c>
      <c r="AM210" s="3">
        <f>IF($A210&lt;&gt;"Yes",0,IF($R210="Detailed Breakdown",$AF210,$S210*IFERROR(VLOOKUP($B210,'Cost Library'!$A$2:$Q$159,14,FALSE),0.4)))</f>
        <v>0</v>
      </c>
      <c r="AN210" s="3">
        <f>IF($A210&lt;&gt;"Yes",0,IF($R210="Detailed Breakdown",$AI210,$S210*IFERROR(VLOOKUP($B210,'Cost Library'!$A$2:$Q$159,15,FALSE),0.5)))</f>
        <v>0</v>
      </c>
      <c r="AO210" s="3">
        <f>IF($A210&lt;&gt;"Yes",0,IF($R210="Detailed Breakdown",$AJ210+$AK210,$S210*IFERROR(VLOOKUP($B210,'Cost Library'!$A$2:$Q$159,16,FALSE),0.1)))</f>
        <v>0</v>
      </c>
      <c r="AP210" s="3">
        <f t="shared" si="56"/>
        <v>0</v>
      </c>
      <c r="AQ210" s="32">
        <f t="shared" si="57"/>
        <v>0</v>
      </c>
      <c r="AR210" s="32">
        <f t="shared" si="58"/>
        <v>0</v>
      </c>
      <c r="AS210" s="32">
        <f t="shared" si="59"/>
        <v>0</v>
      </c>
      <c r="AT210" s="2" t="str">
        <f t="shared" si="60"/>
        <v/>
      </c>
      <c r="AU210" s="31" t="s">
        <v>116</v>
      </c>
      <c r="AV210" s="3">
        <f t="shared" si="61"/>
        <v>0</v>
      </c>
      <c r="AW210" s="3">
        <f t="shared" si="62"/>
        <v>0</v>
      </c>
      <c r="AX210" s="3">
        <f t="shared" si="63"/>
        <v>0</v>
      </c>
      <c r="AY210" s="3">
        <f t="shared" si="64"/>
        <v>0</v>
      </c>
      <c r="AZ210" s="3">
        <f t="shared" si="65"/>
        <v>0</v>
      </c>
      <c r="BA210" s="32">
        <f t="shared" si="66"/>
        <v>0</v>
      </c>
      <c r="BB210" s="2" t="str">
        <f t="shared" si="67"/>
        <v/>
      </c>
    </row>
    <row r="211" spans="1:54" ht="14.4">
      <c r="A211" s="13" t="s">
        <v>161</v>
      </c>
      <c r="B211" s="13"/>
      <c r="C211" s="14" t="str">
        <f>IFERROR(VLOOKUP($B211,'Cost Library'!$A$2:$M$159,2,FALSE),"")</f>
        <v/>
      </c>
      <c r="D211" s="14" t="str">
        <f>IFERROR(VLOOKUP($B211,'Cost Library'!$A$2:$M$159,3,FALSE),"")</f>
        <v/>
      </c>
      <c r="E211" s="13"/>
      <c r="F211" s="13"/>
      <c r="G211" s="13" t="str">
        <f>IFERROR(VLOOKUP($B211,'Cost Library'!$A$2:$M$159,5,FALSE),"")</f>
        <v/>
      </c>
      <c r="H211" s="13"/>
      <c r="I211" s="13"/>
      <c r="J211" s="13"/>
      <c r="K211" s="13"/>
      <c r="L211" s="13">
        <v>1</v>
      </c>
      <c r="M211" s="14" t="str">
        <f>IFERROR(VLOOKUP($B211,'Cost Library'!$A$2:$M$159,6,FALSE),"")</f>
        <v/>
      </c>
      <c r="N211" s="15">
        <f>IFERROR(VLOOKUP($B211,'Cost Library'!$A$2:$M$159,7,FALSE),0)</f>
        <v>0</v>
      </c>
      <c r="O211" s="15">
        <f>IFERROR(VLOOKUP($B211,'Cost Library'!$A$2:$M$159,8,FALSE),0)</f>
        <v>0</v>
      </c>
      <c r="P211" s="15">
        <f>IFERROR(VLOOKUP($B211,'Cost Library'!$A$2:$M$159,9,FALSE),0)</f>
        <v>0</v>
      </c>
      <c r="Q211" s="16"/>
      <c r="R211" s="16" t="s">
        <v>116</v>
      </c>
      <c r="S211" s="17">
        <f t="shared" si="51"/>
        <v>0</v>
      </c>
      <c r="T211" s="18">
        <f>'Project Inputs'!$C$15</f>
        <v>0.1</v>
      </c>
      <c r="U211" s="17">
        <f t="shared" si="52"/>
        <v>0</v>
      </c>
      <c r="V211" s="11" t="s">
        <v>247</v>
      </c>
      <c r="W211" s="14" t="str">
        <f>IFERROR(VLOOKUP($B211,'Cost Library'!$A$2:$M$159,10,FALSE),"")</f>
        <v/>
      </c>
      <c r="X211" s="11"/>
      <c r="Y211" s="11"/>
      <c r="Z211" s="11"/>
      <c r="AA211" s="11"/>
      <c r="AB211" s="11"/>
      <c r="AC211" s="11"/>
      <c r="AD211" s="30"/>
      <c r="AE211" s="31"/>
      <c r="AF211" s="3">
        <f t="shared" si="53"/>
        <v>0</v>
      </c>
      <c r="AG211" s="31"/>
      <c r="AH211" s="31"/>
      <c r="AI211" s="3">
        <f t="shared" si="54"/>
        <v>0</v>
      </c>
      <c r="AJ211" s="31"/>
      <c r="AK211" s="31"/>
      <c r="AL211" s="3">
        <f t="shared" si="55"/>
        <v>0</v>
      </c>
      <c r="AM211" s="3">
        <f>IF($A211&lt;&gt;"Yes",0,IF($R211="Detailed Breakdown",$AF211,$S211*IFERROR(VLOOKUP($B211,'Cost Library'!$A$2:$Q$159,14,FALSE),0.4)))</f>
        <v>0</v>
      </c>
      <c r="AN211" s="3">
        <f>IF($A211&lt;&gt;"Yes",0,IF($R211="Detailed Breakdown",$AI211,$S211*IFERROR(VLOOKUP($B211,'Cost Library'!$A$2:$Q$159,15,FALSE),0.5)))</f>
        <v>0</v>
      </c>
      <c r="AO211" s="3">
        <f>IF($A211&lt;&gt;"Yes",0,IF($R211="Detailed Breakdown",$AJ211+$AK211,$S211*IFERROR(VLOOKUP($B211,'Cost Library'!$A$2:$Q$159,16,FALSE),0.1)))</f>
        <v>0</v>
      </c>
      <c r="AP211" s="3">
        <f t="shared" si="56"/>
        <v>0</v>
      </c>
      <c r="AQ211" s="32">
        <f t="shared" si="57"/>
        <v>0</v>
      </c>
      <c r="AR211" s="32">
        <f t="shared" si="58"/>
        <v>0</v>
      </c>
      <c r="AS211" s="32">
        <f t="shared" si="59"/>
        <v>0</v>
      </c>
      <c r="AT211" s="2" t="str">
        <f t="shared" si="60"/>
        <v/>
      </c>
      <c r="AU211" s="31" t="s">
        <v>116</v>
      </c>
      <c r="AV211" s="3">
        <f t="shared" si="61"/>
        <v>0</v>
      </c>
      <c r="AW211" s="3">
        <f t="shared" si="62"/>
        <v>0</v>
      </c>
      <c r="AX211" s="3">
        <f t="shared" si="63"/>
        <v>0</v>
      </c>
      <c r="AY211" s="3">
        <f t="shared" si="64"/>
        <v>0</v>
      </c>
      <c r="AZ211" s="3">
        <f t="shared" si="65"/>
        <v>0</v>
      </c>
      <c r="BA211" s="32">
        <f t="shared" si="66"/>
        <v>0</v>
      </c>
      <c r="BB211" s="2" t="str">
        <f t="shared" si="67"/>
        <v/>
      </c>
    </row>
    <row r="212" spans="1:54" ht="14.4">
      <c r="A212" s="13" t="s">
        <v>161</v>
      </c>
      <c r="B212" s="13"/>
      <c r="C212" s="14" t="str">
        <f>IFERROR(VLOOKUP($B212,'Cost Library'!$A$2:$M$159,2,FALSE),"")</f>
        <v/>
      </c>
      <c r="D212" s="14" t="str">
        <f>IFERROR(VLOOKUP($B212,'Cost Library'!$A$2:$M$159,3,FALSE),"")</f>
        <v/>
      </c>
      <c r="E212" s="13"/>
      <c r="F212" s="13"/>
      <c r="G212" s="13" t="str">
        <f>IFERROR(VLOOKUP($B212,'Cost Library'!$A$2:$M$159,5,FALSE),"")</f>
        <v/>
      </c>
      <c r="H212" s="13"/>
      <c r="I212" s="13"/>
      <c r="J212" s="13"/>
      <c r="K212" s="13"/>
      <c r="L212" s="13">
        <v>1</v>
      </c>
      <c r="M212" s="14" t="str">
        <f>IFERROR(VLOOKUP($B212,'Cost Library'!$A$2:$M$159,6,FALSE),"")</f>
        <v/>
      </c>
      <c r="N212" s="15">
        <f>IFERROR(VLOOKUP($B212,'Cost Library'!$A$2:$M$159,7,FALSE),0)</f>
        <v>0</v>
      </c>
      <c r="O212" s="15">
        <f>IFERROR(VLOOKUP($B212,'Cost Library'!$A$2:$M$159,8,FALSE),0)</f>
        <v>0</v>
      </c>
      <c r="P212" s="15">
        <f>IFERROR(VLOOKUP($B212,'Cost Library'!$A$2:$M$159,9,FALSE),0)</f>
        <v>0</v>
      </c>
      <c r="Q212" s="16"/>
      <c r="R212" s="16" t="s">
        <v>116</v>
      </c>
      <c r="S212" s="17">
        <f t="shared" si="51"/>
        <v>0</v>
      </c>
      <c r="T212" s="18">
        <f>'Project Inputs'!$C$15</f>
        <v>0.1</v>
      </c>
      <c r="U212" s="17">
        <f t="shared" si="52"/>
        <v>0</v>
      </c>
      <c r="V212" s="11" t="s">
        <v>247</v>
      </c>
      <c r="W212" s="14" t="str">
        <f>IFERROR(VLOOKUP($B212,'Cost Library'!$A$2:$M$159,10,FALSE),"")</f>
        <v/>
      </c>
      <c r="X212" s="11"/>
      <c r="Y212" s="11"/>
      <c r="Z212" s="11"/>
      <c r="AA212" s="11"/>
      <c r="AB212" s="11"/>
      <c r="AC212" s="11"/>
      <c r="AD212" s="30"/>
      <c r="AE212" s="31"/>
      <c r="AF212" s="3">
        <f t="shared" si="53"/>
        <v>0</v>
      </c>
      <c r="AG212" s="31"/>
      <c r="AH212" s="31"/>
      <c r="AI212" s="3">
        <f t="shared" si="54"/>
        <v>0</v>
      </c>
      <c r="AJ212" s="31"/>
      <c r="AK212" s="31"/>
      <c r="AL212" s="3">
        <f t="shared" si="55"/>
        <v>0</v>
      </c>
      <c r="AM212" s="3">
        <f>IF($A212&lt;&gt;"Yes",0,IF($R212="Detailed Breakdown",$AF212,$S212*IFERROR(VLOOKUP($B212,'Cost Library'!$A$2:$Q$159,14,FALSE),0.4)))</f>
        <v>0</v>
      </c>
      <c r="AN212" s="3">
        <f>IF($A212&lt;&gt;"Yes",0,IF($R212="Detailed Breakdown",$AI212,$S212*IFERROR(VLOOKUP($B212,'Cost Library'!$A$2:$Q$159,15,FALSE),0.5)))</f>
        <v>0</v>
      </c>
      <c r="AO212" s="3">
        <f>IF($A212&lt;&gt;"Yes",0,IF($R212="Detailed Breakdown",$AJ212+$AK212,$S212*IFERROR(VLOOKUP($B212,'Cost Library'!$A$2:$Q$159,16,FALSE),0.1)))</f>
        <v>0</v>
      </c>
      <c r="AP212" s="3">
        <f t="shared" si="56"/>
        <v>0</v>
      </c>
      <c r="AQ212" s="32">
        <f t="shared" si="57"/>
        <v>0</v>
      </c>
      <c r="AR212" s="32">
        <f t="shared" si="58"/>
        <v>0</v>
      </c>
      <c r="AS212" s="32">
        <f t="shared" si="59"/>
        <v>0</v>
      </c>
      <c r="AT212" s="2" t="str">
        <f t="shared" si="60"/>
        <v/>
      </c>
      <c r="AU212" s="31" t="s">
        <v>116</v>
      </c>
      <c r="AV212" s="3">
        <f t="shared" si="61"/>
        <v>0</v>
      </c>
      <c r="AW212" s="3">
        <f t="shared" si="62"/>
        <v>0</v>
      </c>
      <c r="AX212" s="3">
        <f t="shared" si="63"/>
        <v>0</v>
      </c>
      <c r="AY212" s="3">
        <f t="shared" si="64"/>
        <v>0</v>
      </c>
      <c r="AZ212" s="3">
        <f t="shared" si="65"/>
        <v>0</v>
      </c>
      <c r="BA212" s="32">
        <f t="shared" si="66"/>
        <v>0</v>
      </c>
      <c r="BB212" s="2" t="str">
        <f t="shared" si="67"/>
        <v/>
      </c>
    </row>
    <row r="213" spans="1:54" ht="14.4">
      <c r="A213" s="13" t="s">
        <v>161</v>
      </c>
      <c r="B213" s="13"/>
      <c r="C213" s="14" t="str">
        <f>IFERROR(VLOOKUP($B213,'Cost Library'!$A$2:$M$159,2,FALSE),"")</f>
        <v/>
      </c>
      <c r="D213" s="14" t="str">
        <f>IFERROR(VLOOKUP($B213,'Cost Library'!$A$2:$M$159,3,FALSE),"")</f>
        <v/>
      </c>
      <c r="E213" s="13"/>
      <c r="F213" s="13"/>
      <c r="G213" s="13" t="str">
        <f>IFERROR(VLOOKUP($B213,'Cost Library'!$A$2:$M$159,5,FALSE),"")</f>
        <v/>
      </c>
      <c r="H213" s="13"/>
      <c r="I213" s="13"/>
      <c r="J213" s="13"/>
      <c r="K213" s="13"/>
      <c r="L213" s="13">
        <v>1</v>
      </c>
      <c r="M213" s="14" t="str">
        <f>IFERROR(VLOOKUP($B213,'Cost Library'!$A$2:$M$159,6,FALSE),"")</f>
        <v/>
      </c>
      <c r="N213" s="15">
        <f>IFERROR(VLOOKUP($B213,'Cost Library'!$A$2:$M$159,7,FALSE),0)</f>
        <v>0</v>
      </c>
      <c r="O213" s="15">
        <f>IFERROR(VLOOKUP($B213,'Cost Library'!$A$2:$M$159,8,FALSE),0)</f>
        <v>0</v>
      </c>
      <c r="P213" s="15">
        <f>IFERROR(VLOOKUP($B213,'Cost Library'!$A$2:$M$159,9,FALSE),0)</f>
        <v>0</v>
      </c>
      <c r="Q213" s="16"/>
      <c r="R213" s="16" t="s">
        <v>116</v>
      </c>
      <c r="S213" s="17">
        <f t="shared" si="51"/>
        <v>0</v>
      </c>
      <c r="T213" s="18">
        <f>'Project Inputs'!$C$15</f>
        <v>0.1</v>
      </c>
      <c r="U213" s="17">
        <f t="shared" si="52"/>
        <v>0</v>
      </c>
      <c r="V213" s="11" t="s">
        <v>247</v>
      </c>
      <c r="W213" s="14" t="str">
        <f>IFERROR(VLOOKUP($B213,'Cost Library'!$A$2:$M$159,10,FALSE),"")</f>
        <v/>
      </c>
      <c r="X213" s="11"/>
      <c r="Y213" s="11"/>
      <c r="Z213" s="11"/>
      <c r="AA213" s="11"/>
      <c r="AB213" s="11"/>
      <c r="AC213" s="11"/>
      <c r="AD213" s="30"/>
      <c r="AE213" s="31"/>
      <c r="AF213" s="3">
        <f t="shared" si="53"/>
        <v>0</v>
      </c>
      <c r="AG213" s="31"/>
      <c r="AH213" s="31"/>
      <c r="AI213" s="3">
        <f t="shared" si="54"/>
        <v>0</v>
      </c>
      <c r="AJ213" s="31"/>
      <c r="AK213" s="31"/>
      <c r="AL213" s="3">
        <f t="shared" si="55"/>
        <v>0</v>
      </c>
      <c r="AM213" s="3">
        <f>IF($A213&lt;&gt;"Yes",0,IF($R213="Detailed Breakdown",$AF213,$S213*IFERROR(VLOOKUP($B213,'Cost Library'!$A$2:$Q$159,14,FALSE),0.4)))</f>
        <v>0</v>
      </c>
      <c r="AN213" s="3">
        <f>IF($A213&lt;&gt;"Yes",0,IF($R213="Detailed Breakdown",$AI213,$S213*IFERROR(VLOOKUP($B213,'Cost Library'!$A$2:$Q$159,15,FALSE),0.5)))</f>
        <v>0</v>
      </c>
      <c r="AO213" s="3">
        <f>IF($A213&lt;&gt;"Yes",0,IF($R213="Detailed Breakdown",$AJ213+$AK213,$S213*IFERROR(VLOOKUP($B213,'Cost Library'!$A$2:$Q$159,16,FALSE),0.1)))</f>
        <v>0</v>
      </c>
      <c r="AP213" s="3">
        <f t="shared" si="56"/>
        <v>0</v>
      </c>
      <c r="AQ213" s="32">
        <f t="shared" si="57"/>
        <v>0</v>
      </c>
      <c r="AR213" s="32">
        <f t="shared" si="58"/>
        <v>0</v>
      </c>
      <c r="AS213" s="32">
        <f t="shared" si="59"/>
        <v>0</v>
      </c>
      <c r="AT213" s="2" t="str">
        <f t="shared" si="60"/>
        <v/>
      </c>
      <c r="AU213" s="31" t="s">
        <v>116</v>
      </c>
      <c r="AV213" s="3">
        <f t="shared" si="61"/>
        <v>0</v>
      </c>
      <c r="AW213" s="3">
        <f t="shared" si="62"/>
        <v>0</v>
      </c>
      <c r="AX213" s="3">
        <f t="shared" si="63"/>
        <v>0</v>
      </c>
      <c r="AY213" s="3">
        <f t="shared" si="64"/>
        <v>0</v>
      </c>
      <c r="AZ213" s="3">
        <f t="shared" si="65"/>
        <v>0</v>
      </c>
      <c r="BA213" s="32">
        <f t="shared" si="66"/>
        <v>0</v>
      </c>
      <c r="BB213" s="2" t="str">
        <f t="shared" si="67"/>
        <v/>
      </c>
    </row>
    <row r="214" spans="1:54" ht="14.4">
      <c r="A214" s="13" t="s">
        <v>161</v>
      </c>
      <c r="B214" s="13"/>
      <c r="C214" s="14" t="str">
        <f>IFERROR(VLOOKUP($B214,'Cost Library'!$A$2:$M$159,2,FALSE),"")</f>
        <v/>
      </c>
      <c r="D214" s="14" t="str">
        <f>IFERROR(VLOOKUP($B214,'Cost Library'!$A$2:$M$159,3,FALSE),"")</f>
        <v/>
      </c>
      <c r="E214" s="13"/>
      <c r="F214" s="13"/>
      <c r="G214" s="13" t="str">
        <f>IFERROR(VLOOKUP($B214,'Cost Library'!$A$2:$M$159,5,FALSE),"")</f>
        <v/>
      </c>
      <c r="H214" s="13"/>
      <c r="I214" s="13"/>
      <c r="J214" s="13"/>
      <c r="K214" s="13"/>
      <c r="L214" s="13">
        <v>1</v>
      </c>
      <c r="M214" s="14" t="str">
        <f>IFERROR(VLOOKUP($B214,'Cost Library'!$A$2:$M$159,6,FALSE),"")</f>
        <v/>
      </c>
      <c r="N214" s="15">
        <f>IFERROR(VLOOKUP($B214,'Cost Library'!$A$2:$M$159,7,FALSE),0)</f>
        <v>0</v>
      </c>
      <c r="O214" s="15">
        <f>IFERROR(VLOOKUP($B214,'Cost Library'!$A$2:$M$159,8,FALSE),0)</f>
        <v>0</v>
      </c>
      <c r="P214" s="15">
        <f>IFERROR(VLOOKUP($B214,'Cost Library'!$A$2:$M$159,9,FALSE),0)</f>
        <v>0</v>
      </c>
      <c r="Q214" s="16"/>
      <c r="R214" s="16" t="s">
        <v>116</v>
      </c>
      <c r="S214" s="17">
        <f t="shared" si="51"/>
        <v>0</v>
      </c>
      <c r="T214" s="18">
        <f>'Project Inputs'!$C$15</f>
        <v>0.1</v>
      </c>
      <c r="U214" s="17">
        <f t="shared" si="52"/>
        <v>0</v>
      </c>
      <c r="V214" s="11" t="s">
        <v>247</v>
      </c>
      <c r="W214" s="14" t="str">
        <f>IFERROR(VLOOKUP($B214,'Cost Library'!$A$2:$M$159,10,FALSE),"")</f>
        <v/>
      </c>
      <c r="X214" s="11"/>
      <c r="Y214" s="11"/>
      <c r="Z214" s="11"/>
      <c r="AA214" s="11"/>
      <c r="AB214" s="11"/>
      <c r="AC214" s="11"/>
      <c r="AD214" s="30"/>
      <c r="AE214" s="31"/>
      <c r="AF214" s="3">
        <f t="shared" si="53"/>
        <v>0</v>
      </c>
      <c r="AG214" s="31"/>
      <c r="AH214" s="31"/>
      <c r="AI214" s="3">
        <f t="shared" si="54"/>
        <v>0</v>
      </c>
      <c r="AJ214" s="31"/>
      <c r="AK214" s="31"/>
      <c r="AL214" s="3">
        <f t="shared" si="55"/>
        <v>0</v>
      </c>
      <c r="AM214" s="3">
        <f>IF($A214&lt;&gt;"Yes",0,IF($R214="Detailed Breakdown",$AF214,$S214*IFERROR(VLOOKUP($B214,'Cost Library'!$A$2:$Q$159,14,FALSE),0.4)))</f>
        <v>0</v>
      </c>
      <c r="AN214" s="3">
        <f>IF($A214&lt;&gt;"Yes",0,IF($R214="Detailed Breakdown",$AI214,$S214*IFERROR(VLOOKUP($B214,'Cost Library'!$A$2:$Q$159,15,FALSE),0.5)))</f>
        <v>0</v>
      </c>
      <c r="AO214" s="3">
        <f>IF($A214&lt;&gt;"Yes",0,IF($R214="Detailed Breakdown",$AJ214+$AK214,$S214*IFERROR(VLOOKUP($B214,'Cost Library'!$A$2:$Q$159,16,FALSE),0.1)))</f>
        <v>0</v>
      </c>
      <c r="AP214" s="3">
        <f t="shared" si="56"/>
        <v>0</v>
      </c>
      <c r="AQ214" s="32">
        <f t="shared" si="57"/>
        <v>0</v>
      </c>
      <c r="AR214" s="32">
        <f t="shared" si="58"/>
        <v>0</v>
      </c>
      <c r="AS214" s="32">
        <f t="shared" si="59"/>
        <v>0</v>
      </c>
      <c r="AT214" s="2" t="str">
        <f t="shared" si="60"/>
        <v/>
      </c>
      <c r="AU214" s="31" t="s">
        <v>116</v>
      </c>
      <c r="AV214" s="3">
        <f t="shared" si="61"/>
        <v>0</v>
      </c>
      <c r="AW214" s="3">
        <f t="shared" si="62"/>
        <v>0</v>
      </c>
      <c r="AX214" s="3">
        <f t="shared" si="63"/>
        <v>0</v>
      </c>
      <c r="AY214" s="3">
        <f t="shared" si="64"/>
        <v>0</v>
      </c>
      <c r="AZ214" s="3">
        <f t="shared" si="65"/>
        <v>0</v>
      </c>
      <c r="BA214" s="32">
        <f t="shared" si="66"/>
        <v>0</v>
      </c>
      <c r="BB214" s="2" t="str">
        <f t="shared" si="67"/>
        <v/>
      </c>
    </row>
    <row r="215" spans="1:54" ht="14.4">
      <c r="A215" s="13" t="s">
        <v>161</v>
      </c>
      <c r="B215" s="13"/>
      <c r="C215" s="14" t="str">
        <f>IFERROR(VLOOKUP($B215,'Cost Library'!$A$2:$M$159,2,FALSE),"")</f>
        <v/>
      </c>
      <c r="D215" s="14" t="str">
        <f>IFERROR(VLOOKUP($B215,'Cost Library'!$A$2:$M$159,3,FALSE),"")</f>
        <v/>
      </c>
      <c r="E215" s="13"/>
      <c r="F215" s="13"/>
      <c r="G215" s="13" t="str">
        <f>IFERROR(VLOOKUP($B215,'Cost Library'!$A$2:$M$159,5,FALSE),"")</f>
        <v/>
      </c>
      <c r="H215" s="13"/>
      <c r="I215" s="13"/>
      <c r="J215" s="13"/>
      <c r="K215" s="13"/>
      <c r="L215" s="13">
        <v>1</v>
      </c>
      <c r="M215" s="14" t="str">
        <f>IFERROR(VLOOKUP($B215,'Cost Library'!$A$2:$M$159,6,FALSE),"")</f>
        <v/>
      </c>
      <c r="N215" s="15">
        <f>IFERROR(VLOOKUP($B215,'Cost Library'!$A$2:$M$159,7,FALSE),0)</f>
        <v>0</v>
      </c>
      <c r="O215" s="15">
        <f>IFERROR(VLOOKUP($B215,'Cost Library'!$A$2:$M$159,8,FALSE),0)</f>
        <v>0</v>
      </c>
      <c r="P215" s="15">
        <f>IFERROR(VLOOKUP($B215,'Cost Library'!$A$2:$M$159,9,FALSE),0)</f>
        <v>0</v>
      </c>
      <c r="Q215" s="16"/>
      <c r="R215" s="16" t="s">
        <v>116</v>
      </c>
      <c r="S215" s="17">
        <f t="shared" si="51"/>
        <v>0</v>
      </c>
      <c r="T215" s="18">
        <f>'Project Inputs'!$C$15</f>
        <v>0.1</v>
      </c>
      <c r="U215" s="17">
        <f t="shared" si="52"/>
        <v>0</v>
      </c>
      <c r="V215" s="11" t="s">
        <v>247</v>
      </c>
      <c r="W215" s="14" t="str">
        <f>IFERROR(VLOOKUP($B215,'Cost Library'!$A$2:$M$159,10,FALSE),"")</f>
        <v/>
      </c>
      <c r="X215" s="11"/>
      <c r="Y215" s="11"/>
      <c r="Z215" s="11"/>
      <c r="AA215" s="11"/>
      <c r="AB215" s="11"/>
      <c r="AC215" s="11"/>
      <c r="AD215" s="30"/>
      <c r="AE215" s="31"/>
      <c r="AF215" s="3">
        <f t="shared" si="53"/>
        <v>0</v>
      </c>
      <c r="AG215" s="31"/>
      <c r="AH215" s="31"/>
      <c r="AI215" s="3">
        <f t="shared" si="54"/>
        <v>0</v>
      </c>
      <c r="AJ215" s="31"/>
      <c r="AK215" s="31"/>
      <c r="AL215" s="3">
        <f t="shared" si="55"/>
        <v>0</v>
      </c>
      <c r="AM215" s="3">
        <f>IF($A215&lt;&gt;"Yes",0,IF($R215="Detailed Breakdown",$AF215,$S215*IFERROR(VLOOKUP($B215,'Cost Library'!$A$2:$Q$159,14,FALSE),0.4)))</f>
        <v>0</v>
      </c>
      <c r="AN215" s="3">
        <f>IF($A215&lt;&gt;"Yes",0,IF($R215="Detailed Breakdown",$AI215,$S215*IFERROR(VLOOKUP($B215,'Cost Library'!$A$2:$Q$159,15,FALSE),0.5)))</f>
        <v>0</v>
      </c>
      <c r="AO215" s="3">
        <f>IF($A215&lt;&gt;"Yes",0,IF($R215="Detailed Breakdown",$AJ215+$AK215,$S215*IFERROR(VLOOKUP($B215,'Cost Library'!$A$2:$Q$159,16,FALSE),0.1)))</f>
        <v>0</v>
      </c>
      <c r="AP215" s="3">
        <f t="shared" si="56"/>
        <v>0</v>
      </c>
      <c r="AQ215" s="32">
        <f t="shared" si="57"/>
        <v>0</v>
      </c>
      <c r="AR215" s="32">
        <f t="shared" si="58"/>
        <v>0</v>
      </c>
      <c r="AS215" s="32">
        <f t="shared" si="59"/>
        <v>0</v>
      </c>
      <c r="AT215" s="2" t="str">
        <f t="shared" si="60"/>
        <v/>
      </c>
      <c r="AU215" s="31" t="s">
        <v>116</v>
      </c>
      <c r="AV215" s="3">
        <f t="shared" si="61"/>
        <v>0</v>
      </c>
      <c r="AW215" s="3">
        <f t="shared" si="62"/>
        <v>0</v>
      </c>
      <c r="AX215" s="3">
        <f t="shared" si="63"/>
        <v>0</v>
      </c>
      <c r="AY215" s="3">
        <f t="shared" si="64"/>
        <v>0</v>
      </c>
      <c r="AZ215" s="3">
        <f t="shared" si="65"/>
        <v>0</v>
      </c>
      <c r="BA215" s="32">
        <f t="shared" si="66"/>
        <v>0</v>
      </c>
      <c r="BB215" s="2" t="str">
        <f t="shared" si="67"/>
        <v/>
      </c>
    </row>
    <row r="216" spans="1:54" ht="14.4">
      <c r="A216" s="13" t="s">
        <v>161</v>
      </c>
      <c r="B216" s="13"/>
      <c r="C216" s="14" t="str">
        <f>IFERROR(VLOOKUP($B216,'Cost Library'!$A$2:$M$159,2,FALSE),"")</f>
        <v/>
      </c>
      <c r="D216" s="14" t="str">
        <f>IFERROR(VLOOKUP($B216,'Cost Library'!$A$2:$M$159,3,FALSE),"")</f>
        <v/>
      </c>
      <c r="E216" s="13"/>
      <c r="F216" s="13"/>
      <c r="G216" s="13" t="str">
        <f>IFERROR(VLOOKUP($B216,'Cost Library'!$A$2:$M$159,5,FALSE),"")</f>
        <v/>
      </c>
      <c r="H216" s="13"/>
      <c r="I216" s="13"/>
      <c r="J216" s="13"/>
      <c r="K216" s="13"/>
      <c r="L216" s="13">
        <v>1</v>
      </c>
      <c r="M216" s="14" t="str">
        <f>IFERROR(VLOOKUP($B216,'Cost Library'!$A$2:$M$159,6,FALSE),"")</f>
        <v/>
      </c>
      <c r="N216" s="15">
        <f>IFERROR(VLOOKUP($B216,'Cost Library'!$A$2:$M$159,7,FALSE),0)</f>
        <v>0</v>
      </c>
      <c r="O216" s="15">
        <f>IFERROR(VLOOKUP($B216,'Cost Library'!$A$2:$M$159,8,FALSE),0)</f>
        <v>0</v>
      </c>
      <c r="P216" s="15">
        <f>IFERROR(VLOOKUP($B216,'Cost Library'!$A$2:$M$159,9,FALSE),0)</f>
        <v>0</v>
      </c>
      <c r="Q216" s="16"/>
      <c r="R216" s="16" t="s">
        <v>116</v>
      </c>
      <c r="S216" s="17">
        <f t="shared" si="51"/>
        <v>0</v>
      </c>
      <c r="T216" s="18">
        <f>'Project Inputs'!$C$15</f>
        <v>0.1</v>
      </c>
      <c r="U216" s="17">
        <f t="shared" si="52"/>
        <v>0</v>
      </c>
      <c r="V216" s="11" t="s">
        <v>247</v>
      </c>
      <c r="W216" s="14" t="str">
        <f>IFERROR(VLOOKUP($B216,'Cost Library'!$A$2:$M$159,10,FALSE),"")</f>
        <v/>
      </c>
      <c r="X216" s="11"/>
      <c r="Y216" s="11"/>
      <c r="Z216" s="11"/>
      <c r="AA216" s="11"/>
      <c r="AB216" s="11"/>
      <c r="AC216" s="11"/>
      <c r="AD216" s="30"/>
      <c r="AE216" s="31"/>
      <c r="AF216" s="3">
        <f t="shared" si="53"/>
        <v>0</v>
      </c>
      <c r="AG216" s="31"/>
      <c r="AH216" s="31"/>
      <c r="AI216" s="3">
        <f t="shared" si="54"/>
        <v>0</v>
      </c>
      <c r="AJ216" s="31"/>
      <c r="AK216" s="31"/>
      <c r="AL216" s="3">
        <f t="shared" si="55"/>
        <v>0</v>
      </c>
      <c r="AM216" s="3">
        <f>IF($A216&lt;&gt;"Yes",0,IF($R216="Detailed Breakdown",$AF216,$S216*IFERROR(VLOOKUP($B216,'Cost Library'!$A$2:$Q$159,14,FALSE),0.4)))</f>
        <v>0</v>
      </c>
      <c r="AN216" s="3">
        <f>IF($A216&lt;&gt;"Yes",0,IF($R216="Detailed Breakdown",$AI216,$S216*IFERROR(VLOOKUP($B216,'Cost Library'!$A$2:$Q$159,15,FALSE),0.5)))</f>
        <v>0</v>
      </c>
      <c r="AO216" s="3">
        <f>IF($A216&lt;&gt;"Yes",0,IF($R216="Detailed Breakdown",$AJ216+$AK216,$S216*IFERROR(VLOOKUP($B216,'Cost Library'!$A$2:$Q$159,16,FALSE),0.1)))</f>
        <v>0</v>
      </c>
      <c r="AP216" s="3">
        <f t="shared" si="56"/>
        <v>0</v>
      </c>
      <c r="AQ216" s="32">
        <f t="shared" si="57"/>
        <v>0</v>
      </c>
      <c r="AR216" s="32">
        <f t="shared" si="58"/>
        <v>0</v>
      </c>
      <c r="AS216" s="32">
        <f t="shared" si="59"/>
        <v>0</v>
      </c>
      <c r="AT216" s="2" t="str">
        <f t="shared" si="60"/>
        <v/>
      </c>
      <c r="AU216" s="31" t="s">
        <v>116</v>
      </c>
      <c r="AV216" s="3">
        <f t="shared" si="61"/>
        <v>0</v>
      </c>
      <c r="AW216" s="3">
        <f t="shared" si="62"/>
        <v>0</v>
      </c>
      <c r="AX216" s="3">
        <f t="shared" si="63"/>
        <v>0</v>
      </c>
      <c r="AY216" s="3">
        <f t="shared" si="64"/>
        <v>0</v>
      </c>
      <c r="AZ216" s="3">
        <f t="shared" si="65"/>
        <v>0</v>
      </c>
      <c r="BA216" s="32">
        <f t="shared" si="66"/>
        <v>0</v>
      </c>
      <c r="BB216" s="2" t="str">
        <f t="shared" si="67"/>
        <v/>
      </c>
    </row>
    <row r="217" spans="1:54" ht="14.4">
      <c r="A217" s="13" t="s">
        <v>161</v>
      </c>
      <c r="B217" s="13"/>
      <c r="C217" s="14" t="str">
        <f>IFERROR(VLOOKUP($B217,'Cost Library'!$A$2:$M$159,2,FALSE),"")</f>
        <v/>
      </c>
      <c r="D217" s="14" t="str">
        <f>IFERROR(VLOOKUP($B217,'Cost Library'!$A$2:$M$159,3,FALSE),"")</f>
        <v/>
      </c>
      <c r="E217" s="13"/>
      <c r="F217" s="13"/>
      <c r="G217" s="13" t="str">
        <f>IFERROR(VLOOKUP($B217,'Cost Library'!$A$2:$M$159,5,FALSE),"")</f>
        <v/>
      </c>
      <c r="H217" s="13"/>
      <c r="I217" s="13"/>
      <c r="J217" s="13"/>
      <c r="K217" s="13"/>
      <c r="L217" s="13">
        <v>1</v>
      </c>
      <c r="M217" s="14" t="str">
        <f>IFERROR(VLOOKUP($B217,'Cost Library'!$A$2:$M$159,6,FALSE),"")</f>
        <v/>
      </c>
      <c r="N217" s="15">
        <f>IFERROR(VLOOKUP($B217,'Cost Library'!$A$2:$M$159,7,FALSE),0)</f>
        <v>0</v>
      </c>
      <c r="O217" s="15">
        <f>IFERROR(VLOOKUP($B217,'Cost Library'!$A$2:$M$159,8,FALSE),0)</f>
        <v>0</v>
      </c>
      <c r="P217" s="15">
        <f>IFERROR(VLOOKUP($B217,'Cost Library'!$A$2:$M$159,9,FALSE),0)</f>
        <v>0</v>
      </c>
      <c r="Q217" s="16"/>
      <c r="R217" s="16" t="s">
        <v>116</v>
      </c>
      <c r="S217" s="17">
        <f t="shared" si="51"/>
        <v>0</v>
      </c>
      <c r="T217" s="18">
        <f>'Project Inputs'!$C$15</f>
        <v>0.1</v>
      </c>
      <c r="U217" s="17">
        <f t="shared" si="52"/>
        <v>0</v>
      </c>
      <c r="V217" s="11" t="s">
        <v>247</v>
      </c>
      <c r="W217" s="14" t="str">
        <f>IFERROR(VLOOKUP($B217,'Cost Library'!$A$2:$M$159,10,FALSE),"")</f>
        <v/>
      </c>
      <c r="X217" s="11"/>
      <c r="Y217" s="11"/>
      <c r="Z217" s="11"/>
      <c r="AA217" s="11"/>
      <c r="AB217" s="11"/>
      <c r="AC217" s="11"/>
      <c r="AD217" s="30"/>
      <c r="AE217" s="31"/>
      <c r="AF217" s="3">
        <f t="shared" si="53"/>
        <v>0</v>
      </c>
      <c r="AG217" s="31"/>
      <c r="AH217" s="31"/>
      <c r="AI217" s="3">
        <f t="shared" si="54"/>
        <v>0</v>
      </c>
      <c r="AJ217" s="31"/>
      <c r="AK217" s="31"/>
      <c r="AL217" s="3">
        <f t="shared" si="55"/>
        <v>0</v>
      </c>
      <c r="AM217" s="3">
        <f>IF($A217&lt;&gt;"Yes",0,IF($R217="Detailed Breakdown",$AF217,$S217*IFERROR(VLOOKUP($B217,'Cost Library'!$A$2:$Q$159,14,FALSE),0.4)))</f>
        <v>0</v>
      </c>
      <c r="AN217" s="3">
        <f>IF($A217&lt;&gt;"Yes",0,IF($R217="Detailed Breakdown",$AI217,$S217*IFERROR(VLOOKUP($B217,'Cost Library'!$A$2:$Q$159,15,FALSE),0.5)))</f>
        <v>0</v>
      </c>
      <c r="AO217" s="3">
        <f>IF($A217&lt;&gt;"Yes",0,IF($R217="Detailed Breakdown",$AJ217+$AK217,$S217*IFERROR(VLOOKUP($B217,'Cost Library'!$A$2:$Q$159,16,FALSE),0.1)))</f>
        <v>0</v>
      </c>
      <c r="AP217" s="3">
        <f t="shared" si="56"/>
        <v>0</v>
      </c>
      <c r="AQ217" s="32">
        <f t="shared" si="57"/>
        <v>0</v>
      </c>
      <c r="AR217" s="32">
        <f t="shared" si="58"/>
        <v>0</v>
      </c>
      <c r="AS217" s="32">
        <f t="shared" si="59"/>
        <v>0</v>
      </c>
      <c r="AT217" s="2" t="str">
        <f t="shared" si="60"/>
        <v/>
      </c>
      <c r="AU217" s="31" t="s">
        <v>116</v>
      </c>
      <c r="AV217" s="3">
        <f t="shared" si="61"/>
        <v>0</v>
      </c>
      <c r="AW217" s="3">
        <f t="shared" si="62"/>
        <v>0</v>
      </c>
      <c r="AX217" s="3">
        <f t="shared" si="63"/>
        <v>0</v>
      </c>
      <c r="AY217" s="3">
        <f t="shared" si="64"/>
        <v>0</v>
      </c>
      <c r="AZ217" s="3">
        <f t="shared" si="65"/>
        <v>0</v>
      </c>
      <c r="BA217" s="32">
        <f t="shared" si="66"/>
        <v>0</v>
      </c>
      <c r="BB217" s="2" t="str">
        <f t="shared" si="67"/>
        <v/>
      </c>
    </row>
    <row r="218" spans="1:54" ht="14.4">
      <c r="A218" s="13" t="s">
        <v>161</v>
      </c>
      <c r="B218" s="13"/>
      <c r="C218" s="14" t="str">
        <f>IFERROR(VLOOKUP($B218,'Cost Library'!$A$2:$M$159,2,FALSE),"")</f>
        <v/>
      </c>
      <c r="D218" s="14" t="str">
        <f>IFERROR(VLOOKUP($B218,'Cost Library'!$A$2:$M$159,3,FALSE),"")</f>
        <v/>
      </c>
      <c r="E218" s="13"/>
      <c r="F218" s="13"/>
      <c r="G218" s="13" t="str">
        <f>IFERROR(VLOOKUP($B218,'Cost Library'!$A$2:$M$159,5,FALSE),"")</f>
        <v/>
      </c>
      <c r="H218" s="13"/>
      <c r="I218" s="13"/>
      <c r="J218" s="13"/>
      <c r="K218" s="13"/>
      <c r="L218" s="13">
        <v>1</v>
      </c>
      <c r="M218" s="14" t="str">
        <f>IFERROR(VLOOKUP($B218,'Cost Library'!$A$2:$M$159,6,FALSE),"")</f>
        <v/>
      </c>
      <c r="N218" s="15">
        <f>IFERROR(VLOOKUP($B218,'Cost Library'!$A$2:$M$159,7,FALSE),0)</f>
        <v>0</v>
      </c>
      <c r="O218" s="15">
        <f>IFERROR(VLOOKUP($B218,'Cost Library'!$A$2:$M$159,8,FALSE),0)</f>
        <v>0</v>
      </c>
      <c r="P218" s="15">
        <f>IFERROR(VLOOKUP($B218,'Cost Library'!$A$2:$M$159,9,FALSE),0)</f>
        <v>0</v>
      </c>
      <c r="Q218" s="16"/>
      <c r="R218" s="16" t="s">
        <v>116</v>
      </c>
      <c r="S218" s="17">
        <f t="shared" si="51"/>
        <v>0</v>
      </c>
      <c r="T218" s="18">
        <f>'Project Inputs'!$C$15</f>
        <v>0.1</v>
      </c>
      <c r="U218" s="17">
        <f t="shared" si="52"/>
        <v>0</v>
      </c>
      <c r="V218" s="11" t="s">
        <v>247</v>
      </c>
      <c r="W218" s="14" t="str">
        <f>IFERROR(VLOOKUP($B218,'Cost Library'!$A$2:$M$159,10,FALSE),"")</f>
        <v/>
      </c>
      <c r="X218" s="11"/>
      <c r="Y218" s="11"/>
      <c r="Z218" s="11"/>
      <c r="AA218" s="11"/>
      <c r="AB218" s="11"/>
      <c r="AC218" s="11"/>
      <c r="AD218" s="30"/>
      <c r="AE218" s="31"/>
      <c r="AF218" s="3">
        <f t="shared" si="53"/>
        <v>0</v>
      </c>
      <c r="AG218" s="31"/>
      <c r="AH218" s="31"/>
      <c r="AI218" s="3">
        <f t="shared" si="54"/>
        <v>0</v>
      </c>
      <c r="AJ218" s="31"/>
      <c r="AK218" s="31"/>
      <c r="AL218" s="3">
        <f t="shared" si="55"/>
        <v>0</v>
      </c>
      <c r="AM218" s="3">
        <f>IF($A218&lt;&gt;"Yes",0,IF($R218="Detailed Breakdown",$AF218,$S218*IFERROR(VLOOKUP($B218,'Cost Library'!$A$2:$Q$159,14,FALSE),0.4)))</f>
        <v>0</v>
      </c>
      <c r="AN218" s="3">
        <f>IF($A218&lt;&gt;"Yes",0,IF($R218="Detailed Breakdown",$AI218,$S218*IFERROR(VLOOKUP($B218,'Cost Library'!$A$2:$Q$159,15,FALSE),0.5)))</f>
        <v>0</v>
      </c>
      <c r="AO218" s="3">
        <f>IF($A218&lt;&gt;"Yes",0,IF($R218="Detailed Breakdown",$AJ218+$AK218,$S218*IFERROR(VLOOKUP($B218,'Cost Library'!$A$2:$Q$159,16,FALSE),0.1)))</f>
        <v>0</v>
      </c>
      <c r="AP218" s="3">
        <f t="shared" si="56"/>
        <v>0</v>
      </c>
      <c r="AQ218" s="32">
        <f t="shared" si="57"/>
        <v>0</v>
      </c>
      <c r="AR218" s="32">
        <f t="shared" si="58"/>
        <v>0</v>
      </c>
      <c r="AS218" s="32">
        <f t="shared" si="59"/>
        <v>0</v>
      </c>
      <c r="AT218" s="2" t="str">
        <f t="shared" si="60"/>
        <v/>
      </c>
      <c r="AU218" s="31" t="s">
        <v>116</v>
      </c>
      <c r="AV218" s="3">
        <f t="shared" si="61"/>
        <v>0</v>
      </c>
      <c r="AW218" s="3">
        <f t="shared" si="62"/>
        <v>0</v>
      </c>
      <c r="AX218" s="3">
        <f t="shared" si="63"/>
        <v>0</v>
      </c>
      <c r="AY218" s="3">
        <f t="shared" si="64"/>
        <v>0</v>
      </c>
      <c r="AZ218" s="3">
        <f t="shared" si="65"/>
        <v>0</v>
      </c>
      <c r="BA218" s="32">
        <f t="shared" si="66"/>
        <v>0</v>
      </c>
      <c r="BB218" s="2" t="str">
        <f t="shared" si="67"/>
        <v/>
      </c>
    </row>
    <row r="219" spans="1:54" ht="14.4">
      <c r="A219" s="13" t="s">
        <v>161</v>
      </c>
      <c r="B219" s="13"/>
      <c r="C219" s="14" t="str">
        <f>IFERROR(VLOOKUP($B219,'Cost Library'!$A$2:$M$159,2,FALSE),"")</f>
        <v/>
      </c>
      <c r="D219" s="14" t="str">
        <f>IFERROR(VLOOKUP($B219,'Cost Library'!$A$2:$M$159,3,FALSE),"")</f>
        <v/>
      </c>
      <c r="E219" s="13"/>
      <c r="F219" s="13"/>
      <c r="G219" s="13" t="str">
        <f>IFERROR(VLOOKUP($B219,'Cost Library'!$A$2:$M$159,5,FALSE),"")</f>
        <v/>
      </c>
      <c r="H219" s="13"/>
      <c r="I219" s="13"/>
      <c r="J219" s="13"/>
      <c r="K219" s="13"/>
      <c r="L219" s="13">
        <v>1</v>
      </c>
      <c r="M219" s="14" t="str">
        <f>IFERROR(VLOOKUP($B219,'Cost Library'!$A$2:$M$159,6,FALSE),"")</f>
        <v/>
      </c>
      <c r="N219" s="15">
        <f>IFERROR(VLOOKUP($B219,'Cost Library'!$A$2:$M$159,7,FALSE),0)</f>
        <v>0</v>
      </c>
      <c r="O219" s="15">
        <f>IFERROR(VLOOKUP($B219,'Cost Library'!$A$2:$M$159,8,FALSE),0)</f>
        <v>0</v>
      </c>
      <c r="P219" s="15">
        <f>IFERROR(VLOOKUP($B219,'Cost Library'!$A$2:$M$159,9,FALSE),0)</f>
        <v>0</v>
      </c>
      <c r="Q219" s="16"/>
      <c r="R219" s="16" t="s">
        <v>116</v>
      </c>
      <c r="S219" s="17">
        <f t="shared" si="51"/>
        <v>0</v>
      </c>
      <c r="T219" s="18">
        <f>'Project Inputs'!$C$15</f>
        <v>0.1</v>
      </c>
      <c r="U219" s="17">
        <f t="shared" si="52"/>
        <v>0</v>
      </c>
      <c r="V219" s="11" t="s">
        <v>247</v>
      </c>
      <c r="W219" s="14" t="str">
        <f>IFERROR(VLOOKUP($B219,'Cost Library'!$A$2:$M$159,10,FALSE),"")</f>
        <v/>
      </c>
      <c r="X219" s="11"/>
      <c r="Y219" s="11"/>
      <c r="Z219" s="11"/>
      <c r="AA219" s="11"/>
      <c r="AB219" s="11"/>
      <c r="AC219" s="11"/>
      <c r="AD219" s="30"/>
      <c r="AE219" s="31"/>
      <c r="AF219" s="3">
        <f t="shared" si="53"/>
        <v>0</v>
      </c>
      <c r="AG219" s="31"/>
      <c r="AH219" s="31"/>
      <c r="AI219" s="3">
        <f t="shared" si="54"/>
        <v>0</v>
      </c>
      <c r="AJ219" s="31"/>
      <c r="AK219" s="31"/>
      <c r="AL219" s="3">
        <f t="shared" si="55"/>
        <v>0</v>
      </c>
      <c r="AM219" s="3">
        <f>IF($A219&lt;&gt;"Yes",0,IF($R219="Detailed Breakdown",$AF219,$S219*IFERROR(VLOOKUP($B219,'Cost Library'!$A$2:$Q$159,14,FALSE),0.4)))</f>
        <v>0</v>
      </c>
      <c r="AN219" s="3">
        <f>IF($A219&lt;&gt;"Yes",0,IF($R219="Detailed Breakdown",$AI219,$S219*IFERROR(VLOOKUP($B219,'Cost Library'!$A$2:$Q$159,15,FALSE),0.5)))</f>
        <v>0</v>
      </c>
      <c r="AO219" s="3">
        <f>IF($A219&lt;&gt;"Yes",0,IF($R219="Detailed Breakdown",$AJ219+$AK219,$S219*IFERROR(VLOOKUP($B219,'Cost Library'!$A$2:$Q$159,16,FALSE),0.1)))</f>
        <v>0</v>
      </c>
      <c r="AP219" s="3">
        <f t="shared" si="56"/>
        <v>0</v>
      </c>
      <c r="AQ219" s="32">
        <f t="shared" si="57"/>
        <v>0</v>
      </c>
      <c r="AR219" s="32">
        <f t="shared" si="58"/>
        <v>0</v>
      </c>
      <c r="AS219" s="32">
        <f t="shared" si="59"/>
        <v>0</v>
      </c>
      <c r="AT219" s="2" t="str">
        <f t="shared" si="60"/>
        <v/>
      </c>
      <c r="AU219" s="31" t="s">
        <v>116</v>
      </c>
      <c r="AV219" s="3">
        <f t="shared" si="61"/>
        <v>0</v>
      </c>
      <c r="AW219" s="3">
        <f t="shared" si="62"/>
        <v>0</v>
      </c>
      <c r="AX219" s="3">
        <f t="shared" si="63"/>
        <v>0</v>
      </c>
      <c r="AY219" s="3">
        <f t="shared" si="64"/>
        <v>0</v>
      </c>
      <c r="AZ219" s="3">
        <f t="shared" si="65"/>
        <v>0</v>
      </c>
      <c r="BA219" s="32">
        <f t="shared" si="66"/>
        <v>0</v>
      </c>
      <c r="BB219" s="2" t="str">
        <f t="shared" si="67"/>
        <v/>
      </c>
    </row>
    <row r="220" spans="1:54" ht="14.4">
      <c r="A220" s="13" t="s">
        <v>161</v>
      </c>
      <c r="B220" s="13"/>
      <c r="C220" s="14" t="str">
        <f>IFERROR(VLOOKUP($B220,'Cost Library'!$A$2:$M$159,2,FALSE),"")</f>
        <v/>
      </c>
      <c r="D220" s="14" t="str">
        <f>IFERROR(VLOOKUP($B220,'Cost Library'!$A$2:$M$159,3,FALSE),"")</f>
        <v/>
      </c>
      <c r="E220" s="13"/>
      <c r="F220" s="13"/>
      <c r="G220" s="13" t="str">
        <f>IFERROR(VLOOKUP($B220,'Cost Library'!$A$2:$M$159,5,FALSE),"")</f>
        <v/>
      </c>
      <c r="H220" s="13"/>
      <c r="I220" s="13"/>
      <c r="J220" s="13"/>
      <c r="K220" s="13"/>
      <c r="L220" s="13">
        <v>1</v>
      </c>
      <c r="M220" s="14" t="str">
        <f>IFERROR(VLOOKUP($B220,'Cost Library'!$A$2:$M$159,6,FALSE),"")</f>
        <v/>
      </c>
      <c r="N220" s="15">
        <f>IFERROR(VLOOKUP($B220,'Cost Library'!$A$2:$M$159,7,FALSE),0)</f>
        <v>0</v>
      </c>
      <c r="O220" s="15">
        <f>IFERROR(VLOOKUP($B220,'Cost Library'!$A$2:$M$159,8,FALSE),0)</f>
        <v>0</v>
      </c>
      <c r="P220" s="15">
        <f>IFERROR(VLOOKUP($B220,'Cost Library'!$A$2:$M$159,9,FALSE),0)</f>
        <v>0</v>
      </c>
      <c r="Q220" s="16"/>
      <c r="R220" s="16" t="s">
        <v>116</v>
      </c>
      <c r="S220" s="17">
        <f t="shared" si="51"/>
        <v>0</v>
      </c>
      <c r="T220" s="18">
        <f>'Project Inputs'!$C$15</f>
        <v>0.1</v>
      </c>
      <c r="U220" s="17">
        <f t="shared" si="52"/>
        <v>0</v>
      </c>
      <c r="V220" s="11" t="s">
        <v>247</v>
      </c>
      <c r="W220" s="14" t="str">
        <f>IFERROR(VLOOKUP($B220,'Cost Library'!$A$2:$M$159,10,FALSE),"")</f>
        <v/>
      </c>
      <c r="X220" s="11"/>
      <c r="Y220" s="11"/>
      <c r="Z220" s="11"/>
      <c r="AA220" s="11"/>
      <c r="AB220" s="11"/>
      <c r="AC220" s="11"/>
      <c r="AD220" s="30"/>
      <c r="AE220" s="31"/>
      <c r="AF220" s="3">
        <f t="shared" si="53"/>
        <v>0</v>
      </c>
      <c r="AG220" s="31"/>
      <c r="AH220" s="31"/>
      <c r="AI220" s="3">
        <f t="shared" si="54"/>
        <v>0</v>
      </c>
      <c r="AJ220" s="31"/>
      <c r="AK220" s="31"/>
      <c r="AL220" s="3">
        <f t="shared" si="55"/>
        <v>0</v>
      </c>
      <c r="AM220" s="3">
        <f>IF($A220&lt;&gt;"Yes",0,IF($R220="Detailed Breakdown",$AF220,$S220*IFERROR(VLOOKUP($B220,'Cost Library'!$A$2:$Q$159,14,FALSE),0.4)))</f>
        <v>0</v>
      </c>
      <c r="AN220" s="3">
        <f>IF($A220&lt;&gt;"Yes",0,IF($R220="Detailed Breakdown",$AI220,$S220*IFERROR(VLOOKUP($B220,'Cost Library'!$A$2:$Q$159,15,FALSE),0.5)))</f>
        <v>0</v>
      </c>
      <c r="AO220" s="3">
        <f>IF($A220&lt;&gt;"Yes",0,IF($R220="Detailed Breakdown",$AJ220+$AK220,$S220*IFERROR(VLOOKUP($B220,'Cost Library'!$A$2:$Q$159,16,FALSE),0.1)))</f>
        <v>0</v>
      </c>
      <c r="AP220" s="3">
        <f t="shared" si="56"/>
        <v>0</v>
      </c>
      <c r="AQ220" s="32">
        <f t="shared" si="57"/>
        <v>0</v>
      </c>
      <c r="AR220" s="32">
        <f t="shared" si="58"/>
        <v>0</v>
      </c>
      <c r="AS220" s="32">
        <f t="shared" si="59"/>
        <v>0</v>
      </c>
      <c r="AT220" s="2" t="str">
        <f t="shared" si="60"/>
        <v/>
      </c>
      <c r="AU220" s="31" t="s">
        <v>116</v>
      </c>
      <c r="AV220" s="3">
        <f t="shared" si="61"/>
        <v>0</v>
      </c>
      <c r="AW220" s="3">
        <f t="shared" si="62"/>
        <v>0</v>
      </c>
      <c r="AX220" s="3">
        <f t="shared" si="63"/>
        <v>0</v>
      </c>
      <c r="AY220" s="3">
        <f t="shared" si="64"/>
        <v>0</v>
      </c>
      <c r="AZ220" s="3">
        <f t="shared" si="65"/>
        <v>0</v>
      </c>
      <c r="BA220" s="32">
        <f t="shared" si="66"/>
        <v>0</v>
      </c>
      <c r="BB220" s="2" t="str">
        <f t="shared" si="67"/>
        <v/>
      </c>
    </row>
    <row r="221" spans="1:54" ht="14.4">
      <c r="A221" s="13" t="s">
        <v>161</v>
      </c>
      <c r="B221" s="13"/>
      <c r="C221" s="14" t="str">
        <f>IFERROR(VLOOKUP($B221,'Cost Library'!$A$2:$M$159,2,FALSE),"")</f>
        <v/>
      </c>
      <c r="D221" s="14" t="str">
        <f>IFERROR(VLOOKUP($B221,'Cost Library'!$A$2:$M$159,3,FALSE),"")</f>
        <v/>
      </c>
      <c r="E221" s="13"/>
      <c r="F221" s="13"/>
      <c r="G221" s="13" t="str">
        <f>IFERROR(VLOOKUP($B221,'Cost Library'!$A$2:$M$159,5,FALSE),"")</f>
        <v/>
      </c>
      <c r="H221" s="13"/>
      <c r="I221" s="13"/>
      <c r="J221" s="13"/>
      <c r="K221" s="13"/>
      <c r="L221" s="13">
        <v>1</v>
      </c>
      <c r="M221" s="14" t="str">
        <f>IFERROR(VLOOKUP($B221,'Cost Library'!$A$2:$M$159,6,FALSE),"")</f>
        <v/>
      </c>
      <c r="N221" s="15">
        <f>IFERROR(VLOOKUP($B221,'Cost Library'!$A$2:$M$159,7,FALSE),0)</f>
        <v>0</v>
      </c>
      <c r="O221" s="15">
        <f>IFERROR(VLOOKUP($B221,'Cost Library'!$A$2:$M$159,8,FALSE),0)</f>
        <v>0</v>
      </c>
      <c r="P221" s="15">
        <f>IFERROR(VLOOKUP($B221,'Cost Library'!$A$2:$M$159,9,FALSE),0)</f>
        <v>0</v>
      </c>
      <c r="Q221" s="16"/>
      <c r="R221" s="16" t="s">
        <v>116</v>
      </c>
      <c r="S221" s="17">
        <f t="shared" si="51"/>
        <v>0</v>
      </c>
      <c r="T221" s="18">
        <f>'Project Inputs'!$C$15</f>
        <v>0.1</v>
      </c>
      <c r="U221" s="17">
        <f t="shared" si="52"/>
        <v>0</v>
      </c>
      <c r="V221" s="11" t="s">
        <v>247</v>
      </c>
      <c r="W221" s="14" t="str">
        <f>IFERROR(VLOOKUP($B221,'Cost Library'!$A$2:$M$159,10,FALSE),"")</f>
        <v/>
      </c>
      <c r="X221" s="11"/>
      <c r="Y221" s="11"/>
      <c r="Z221" s="11"/>
      <c r="AA221" s="11"/>
      <c r="AB221" s="11"/>
      <c r="AC221" s="11"/>
      <c r="AD221" s="30"/>
      <c r="AE221" s="31"/>
      <c r="AF221" s="3">
        <f t="shared" si="53"/>
        <v>0</v>
      </c>
      <c r="AG221" s="31"/>
      <c r="AH221" s="31"/>
      <c r="AI221" s="3">
        <f t="shared" si="54"/>
        <v>0</v>
      </c>
      <c r="AJ221" s="31"/>
      <c r="AK221" s="31"/>
      <c r="AL221" s="3">
        <f t="shared" si="55"/>
        <v>0</v>
      </c>
      <c r="AM221" s="3">
        <f>IF($A221&lt;&gt;"Yes",0,IF($R221="Detailed Breakdown",$AF221,$S221*IFERROR(VLOOKUP($B221,'Cost Library'!$A$2:$Q$159,14,FALSE),0.4)))</f>
        <v>0</v>
      </c>
      <c r="AN221" s="3">
        <f>IF($A221&lt;&gt;"Yes",0,IF($R221="Detailed Breakdown",$AI221,$S221*IFERROR(VLOOKUP($B221,'Cost Library'!$A$2:$Q$159,15,FALSE),0.5)))</f>
        <v>0</v>
      </c>
      <c r="AO221" s="3">
        <f>IF($A221&lt;&gt;"Yes",0,IF($R221="Detailed Breakdown",$AJ221+$AK221,$S221*IFERROR(VLOOKUP($B221,'Cost Library'!$A$2:$Q$159,16,FALSE),0.1)))</f>
        <v>0</v>
      </c>
      <c r="AP221" s="3">
        <f t="shared" si="56"/>
        <v>0</v>
      </c>
      <c r="AQ221" s="32">
        <f t="shared" si="57"/>
        <v>0</v>
      </c>
      <c r="AR221" s="32">
        <f t="shared" si="58"/>
        <v>0</v>
      </c>
      <c r="AS221" s="32">
        <f t="shared" si="59"/>
        <v>0</v>
      </c>
      <c r="AT221" s="2" t="str">
        <f t="shared" si="60"/>
        <v/>
      </c>
      <c r="AU221" s="31" t="s">
        <v>116</v>
      </c>
      <c r="AV221" s="3">
        <f t="shared" si="61"/>
        <v>0</v>
      </c>
      <c r="AW221" s="3">
        <f t="shared" si="62"/>
        <v>0</v>
      </c>
      <c r="AX221" s="3">
        <f t="shared" si="63"/>
        <v>0</v>
      </c>
      <c r="AY221" s="3">
        <f t="shared" si="64"/>
        <v>0</v>
      </c>
      <c r="AZ221" s="3">
        <f t="shared" si="65"/>
        <v>0</v>
      </c>
      <c r="BA221" s="32">
        <f t="shared" si="66"/>
        <v>0</v>
      </c>
      <c r="BB221" s="2" t="str">
        <f t="shared" si="67"/>
        <v/>
      </c>
    </row>
    <row r="222" spans="1:54" ht="14.4">
      <c r="A222" s="13" t="s">
        <v>161</v>
      </c>
      <c r="B222" s="13"/>
      <c r="C222" s="14" t="str">
        <f>IFERROR(VLOOKUP($B222,'Cost Library'!$A$2:$M$159,2,FALSE),"")</f>
        <v/>
      </c>
      <c r="D222" s="14" t="str">
        <f>IFERROR(VLOOKUP($B222,'Cost Library'!$A$2:$M$159,3,FALSE),"")</f>
        <v/>
      </c>
      <c r="E222" s="13"/>
      <c r="F222" s="13"/>
      <c r="G222" s="13" t="str">
        <f>IFERROR(VLOOKUP($B222,'Cost Library'!$A$2:$M$159,5,FALSE),"")</f>
        <v/>
      </c>
      <c r="H222" s="13"/>
      <c r="I222" s="13"/>
      <c r="J222" s="13"/>
      <c r="K222" s="13"/>
      <c r="L222" s="13">
        <v>1</v>
      </c>
      <c r="M222" s="14" t="str">
        <f>IFERROR(VLOOKUP($B222,'Cost Library'!$A$2:$M$159,6,FALSE),"")</f>
        <v/>
      </c>
      <c r="N222" s="15">
        <f>IFERROR(VLOOKUP($B222,'Cost Library'!$A$2:$M$159,7,FALSE),0)</f>
        <v>0</v>
      </c>
      <c r="O222" s="15">
        <f>IFERROR(VLOOKUP($B222,'Cost Library'!$A$2:$M$159,8,FALSE),0)</f>
        <v>0</v>
      </c>
      <c r="P222" s="15">
        <f>IFERROR(VLOOKUP($B222,'Cost Library'!$A$2:$M$159,9,FALSE),0)</f>
        <v>0</v>
      </c>
      <c r="Q222" s="16"/>
      <c r="R222" s="16" t="s">
        <v>116</v>
      </c>
      <c r="S222" s="17">
        <f t="shared" si="51"/>
        <v>0</v>
      </c>
      <c r="T222" s="18">
        <f>'Project Inputs'!$C$15</f>
        <v>0.1</v>
      </c>
      <c r="U222" s="17">
        <f t="shared" si="52"/>
        <v>0</v>
      </c>
      <c r="V222" s="11" t="s">
        <v>247</v>
      </c>
      <c r="W222" s="14" t="str">
        <f>IFERROR(VLOOKUP($B222,'Cost Library'!$A$2:$M$159,10,FALSE),"")</f>
        <v/>
      </c>
      <c r="X222" s="11"/>
      <c r="Y222" s="11"/>
      <c r="Z222" s="11"/>
      <c r="AA222" s="11"/>
      <c r="AB222" s="11"/>
      <c r="AC222" s="11"/>
      <c r="AD222" s="30"/>
      <c r="AE222" s="31"/>
      <c r="AF222" s="3">
        <f t="shared" si="53"/>
        <v>0</v>
      </c>
      <c r="AG222" s="31"/>
      <c r="AH222" s="31"/>
      <c r="AI222" s="3">
        <f t="shared" si="54"/>
        <v>0</v>
      </c>
      <c r="AJ222" s="31"/>
      <c r="AK222" s="31"/>
      <c r="AL222" s="3">
        <f t="shared" si="55"/>
        <v>0</v>
      </c>
      <c r="AM222" s="3">
        <f>IF($A222&lt;&gt;"Yes",0,IF($R222="Detailed Breakdown",$AF222,$S222*IFERROR(VLOOKUP($B222,'Cost Library'!$A$2:$Q$159,14,FALSE),0.4)))</f>
        <v>0</v>
      </c>
      <c r="AN222" s="3">
        <f>IF($A222&lt;&gt;"Yes",0,IF($R222="Detailed Breakdown",$AI222,$S222*IFERROR(VLOOKUP($B222,'Cost Library'!$A$2:$Q$159,15,FALSE),0.5)))</f>
        <v>0</v>
      </c>
      <c r="AO222" s="3">
        <f>IF($A222&lt;&gt;"Yes",0,IF($R222="Detailed Breakdown",$AJ222+$AK222,$S222*IFERROR(VLOOKUP($B222,'Cost Library'!$A$2:$Q$159,16,FALSE),0.1)))</f>
        <v>0</v>
      </c>
      <c r="AP222" s="3">
        <f t="shared" si="56"/>
        <v>0</v>
      </c>
      <c r="AQ222" s="32">
        <f t="shared" si="57"/>
        <v>0</v>
      </c>
      <c r="AR222" s="32">
        <f t="shared" si="58"/>
        <v>0</v>
      </c>
      <c r="AS222" s="32">
        <f t="shared" si="59"/>
        <v>0</v>
      </c>
      <c r="AT222" s="2" t="str">
        <f t="shared" si="60"/>
        <v/>
      </c>
      <c r="AU222" s="31" t="s">
        <v>116</v>
      </c>
      <c r="AV222" s="3">
        <f t="shared" si="61"/>
        <v>0</v>
      </c>
      <c r="AW222" s="3">
        <f t="shared" si="62"/>
        <v>0</v>
      </c>
      <c r="AX222" s="3">
        <f t="shared" si="63"/>
        <v>0</v>
      </c>
      <c r="AY222" s="3">
        <f t="shared" si="64"/>
        <v>0</v>
      </c>
      <c r="AZ222" s="3">
        <f t="shared" si="65"/>
        <v>0</v>
      </c>
      <c r="BA222" s="32">
        <f t="shared" si="66"/>
        <v>0</v>
      </c>
      <c r="BB222" s="2" t="str">
        <f t="shared" si="67"/>
        <v/>
      </c>
    </row>
    <row r="223" spans="1:54" ht="14.4">
      <c r="A223" s="13" t="s">
        <v>161</v>
      </c>
      <c r="B223" s="13"/>
      <c r="C223" s="14" t="str">
        <f>IFERROR(VLOOKUP($B223,'Cost Library'!$A$2:$M$159,2,FALSE),"")</f>
        <v/>
      </c>
      <c r="D223" s="14" t="str">
        <f>IFERROR(VLOOKUP($B223,'Cost Library'!$A$2:$M$159,3,FALSE),"")</f>
        <v/>
      </c>
      <c r="E223" s="13"/>
      <c r="F223" s="13"/>
      <c r="G223" s="13" t="str">
        <f>IFERROR(VLOOKUP($B223,'Cost Library'!$A$2:$M$159,5,FALSE),"")</f>
        <v/>
      </c>
      <c r="H223" s="13"/>
      <c r="I223" s="13"/>
      <c r="J223" s="13"/>
      <c r="K223" s="13"/>
      <c r="L223" s="13">
        <v>1</v>
      </c>
      <c r="M223" s="14" t="str">
        <f>IFERROR(VLOOKUP($B223,'Cost Library'!$A$2:$M$159,6,FALSE),"")</f>
        <v/>
      </c>
      <c r="N223" s="15">
        <f>IFERROR(VLOOKUP($B223,'Cost Library'!$A$2:$M$159,7,FALSE),0)</f>
        <v>0</v>
      </c>
      <c r="O223" s="15">
        <f>IFERROR(VLOOKUP($B223,'Cost Library'!$A$2:$M$159,8,FALSE),0)</f>
        <v>0</v>
      </c>
      <c r="P223" s="15">
        <f>IFERROR(VLOOKUP($B223,'Cost Library'!$A$2:$M$159,9,FALSE),0)</f>
        <v>0</v>
      </c>
      <c r="Q223" s="16"/>
      <c r="R223" s="16" t="s">
        <v>116</v>
      </c>
      <c r="S223" s="17">
        <f t="shared" si="51"/>
        <v>0</v>
      </c>
      <c r="T223" s="18">
        <f>'Project Inputs'!$C$15</f>
        <v>0.1</v>
      </c>
      <c r="U223" s="17">
        <f t="shared" si="52"/>
        <v>0</v>
      </c>
      <c r="V223" s="11" t="s">
        <v>247</v>
      </c>
      <c r="W223" s="14" t="str">
        <f>IFERROR(VLOOKUP($B223,'Cost Library'!$A$2:$M$159,10,FALSE),"")</f>
        <v/>
      </c>
      <c r="X223" s="11"/>
      <c r="Y223" s="11"/>
      <c r="Z223" s="11"/>
      <c r="AA223" s="11"/>
      <c r="AB223" s="11"/>
      <c r="AC223" s="11"/>
      <c r="AD223" s="30"/>
      <c r="AE223" s="31"/>
      <c r="AF223" s="3">
        <f t="shared" si="53"/>
        <v>0</v>
      </c>
      <c r="AG223" s="31"/>
      <c r="AH223" s="31"/>
      <c r="AI223" s="3">
        <f t="shared" si="54"/>
        <v>0</v>
      </c>
      <c r="AJ223" s="31"/>
      <c r="AK223" s="31"/>
      <c r="AL223" s="3">
        <f t="shared" si="55"/>
        <v>0</v>
      </c>
      <c r="AM223" s="3">
        <f>IF($A223&lt;&gt;"Yes",0,IF($R223="Detailed Breakdown",$AF223,$S223*IFERROR(VLOOKUP($B223,'Cost Library'!$A$2:$Q$159,14,FALSE),0.4)))</f>
        <v>0</v>
      </c>
      <c r="AN223" s="3">
        <f>IF($A223&lt;&gt;"Yes",0,IF($R223="Detailed Breakdown",$AI223,$S223*IFERROR(VLOOKUP($B223,'Cost Library'!$A$2:$Q$159,15,FALSE),0.5)))</f>
        <v>0</v>
      </c>
      <c r="AO223" s="3">
        <f>IF($A223&lt;&gt;"Yes",0,IF($R223="Detailed Breakdown",$AJ223+$AK223,$S223*IFERROR(VLOOKUP($B223,'Cost Library'!$A$2:$Q$159,16,FALSE),0.1)))</f>
        <v>0</v>
      </c>
      <c r="AP223" s="3">
        <f t="shared" si="56"/>
        <v>0</v>
      </c>
      <c r="AQ223" s="32">
        <f t="shared" si="57"/>
        <v>0</v>
      </c>
      <c r="AR223" s="32">
        <f t="shared" si="58"/>
        <v>0</v>
      </c>
      <c r="AS223" s="32">
        <f t="shared" si="59"/>
        <v>0</v>
      </c>
      <c r="AT223" s="2" t="str">
        <f t="shared" si="60"/>
        <v/>
      </c>
      <c r="AU223" s="31" t="s">
        <v>116</v>
      </c>
      <c r="AV223" s="3">
        <f t="shared" si="61"/>
        <v>0</v>
      </c>
      <c r="AW223" s="3">
        <f t="shared" si="62"/>
        <v>0</v>
      </c>
      <c r="AX223" s="3">
        <f t="shared" si="63"/>
        <v>0</v>
      </c>
      <c r="AY223" s="3">
        <f t="shared" si="64"/>
        <v>0</v>
      </c>
      <c r="AZ223" s="3">
        <f t="shared" si="65"/>
        <v>0</v>
      </c>
      <c r="BA223" s="32">
        <f t="shared" si="66"/>
        <v>0</v>
      </c>
      <c r="BB223" s="2" t="str">
        <f t="shared" si="67"/>
        <v/>
      </c>
    </row>
    <row r="224" spans="1:54" ht="14.4">
      <c r="A224" s="13" t="s">
        <v>161</v>
      </c>
      <c r="B224" s="13"/>
      <c r="C224" s="14" t="str">
        <f>IFERROR(VLOOKUP($B224,'Cost Library'!$A$2:$M$159,2,FALSE),"")</f>
        <v/>
      </c>
      <c r="D224" s="14" t="str">
        <f>IFERROR(VLOOKUP($B224,'Cost Library'!$A$2:$M$159,3,FALSE),"")</f>
        <v/>
      </c>
      <c r="E224" s="13"/>
      <c r="F224" s="13"/>
      <c r="G224" s="13" t="str">
        <f>IFERROR(VLOOKUP($B224,'Cost Library'!$A$2:$M$159,5,FALSE),"")</f>
        <v/>
      </c>
      <c r="H224" s="13"/>
      <c r="I224" s="13"/>
      <c r="J224" s="13"/>
      <c r="K224" s="13"/>
      <c r="L224" s="13">
        <v>1</v>
      </c>
      <c r="M224" s="14" t="str">
        <f>IFERROR(VLOOKUP($B224,'Cost Library'!$A$2:$M$159,6,FALSE),"")</f>
        <v/>
      </c>
      <c r="N224" s="15">
        <f>IFERROR(VLOOKUP($B224,'Cost Library'!$A$2:$M$159,7,FALSE),0)</f>
        <v>0</v>
      </c>
      <c r="O224" s="15">
        <f>IFERROR(VLOOKUP($B224,'Cost Library'!$A$2:$M$159,8,FALSE),0)</f>
        <v>0</v>
      </c>
      <c r="P224" s="15">
        <f>IFERROR(VLOOKUP($B224,'Cost Library'!$A$2:$M$159,9,FALSE),0)</f>
        <v>0</v>
      </c>
      <c r="Q224" s="16"/>
      <c r="R224" s="16" t="s">
        <v>116</v>
      </c>
      <c r="S224" s="17">
        <f t="shared" si="51"/>
        <v>0</v>
      </c>
      <c r="T224" s="18">
        <f>'Project Inputs'!$C$15</f>
        <v>0.1</v>
      </c>
      <c r="U224" s="17">
        <f t="shared" si="52"/>
        <v>0</v>
      </c>
      <c r="V224" s="11" t="s">
        <v>247</v>
      </c>
      <c r="W224" s="14" t="str">
        <f>IFERROR(VLOOKUP($B224,'Cost Library'!$A$2:$M$159,10,FALSE),"")</f>
        <v/>
      </c>
      <c r="X224" s="11"/>
      <c r="Y224" s="11"/>
      <c r="Z224" s="11"/>
      <c r="AA224" s="11"/>
      <c r="AB224" s="11"/>
      <c r="AC224" s="11"/>
      <c r="AD224" s="30"/>
      <c r="AE224" s="31"/>
      <c r="AF224" s="3">
        <f t="shared" si="53"/>
        <v>0</v>
      </c>
      <c r="AG224" s="31"/>
      <c r="AH224" s="31"/>
      <c r="AI224" s="3">
        <f t="shared" si="54"/>
        <v>0</v>
      </c>
      <c r="AJ224" s="31"/>
      <c r="AK224" s="31"/>
      <c r="AL224" s="3">
        <f t="shared" si="55"/>
        <v>0</v>
      </c>
      <c r="AM224" s="3">
        <f>IF($A224&lt;&gt;"Yes",0,IF($R224="Detailed Breakdown",$AF224,$S224*IFERROR(VLOOKUP($B224,'Cost Library'!$A$2:$Q$159,14,FALSE),0.4)))</f>
        <v>0</v>
      </c>
      <c r="AN224" s="3">
        <f>IF($A224&lt;&gt;"Yes",0,IF($R224="Detailed Breakdown",$AI224,$S224*IFERROR(VLOOKUP($B224,'Cost Library'!$A$2:$Q$159,15,FALSE),0.5)))</f>
        <v>0</v>
      </c>
      <c r="AO224" s="3">
        <f>IF($A224&lt;&gt;"Yes",0,IF($R224="Detailed Breakdown",$AJ224+$AK224,$S224*IFERROR(VLOOKUP($B224,'Cost Library'!$A$2:$Q$159,16,FALSE),0.1)))</f>
        <v>0</v>
      </c>
      <c r="AP224" s="3">
        <f t="shared" si="56"/>
        <v>0</v>
      </c>
      <c r="AQ224" s="32">
        <f t="shared" si="57"/>
        <v>0</v>
      </c>
      <c r="AR224" s="32">
        <f t="shared" si="58"/>
        <v>0</v>
      </c>
      <c r="AS224" s="32">
        <f t="shared" si="59"/>
        <v>0</v>
      </c>
      <c r="AT224" s="2" t="str">
        <f t="shared" si="60"/>
        <v/>
      </c>
      <c r="AU224" s="31" t="s">
        <v>116</v>
      </c>
      <c r="AV224" s="3">
        <f t="shared" si="61"/>
        <v>0</v>
      </c>
      <c r="AW224" s="3">
        <f t="shared" si="62"/>
        <v>0</v>
      </c>
      <c r="AX224" s="3">
        <f t="shared" si="63"/>
        <v>0</v>
      </c>
      <c r="AY224" s="3">
        <f t="shared" si="64"/>
        <v>0</v>
      </c>
      <c r="AZ224" s="3">
        <f t="shared" si="65"/>
        <v>0</v>
      </c>
      <c r="BA224" s="32">
        <f t="shared" si="66"/>
        <v>0</v>
      </c>
      <c r="BB224" s="2" t="str">
        <f t="shared" si="67"/>
        <v/>
      </c>
    </row>
    <row r="225" spans="1:54" ht="14.4">
      <c r="A225" s="13" t="s">
        <v>161</v>
      </c>
      <c r="B225" s="13"/>
      <c r="C225" s="14" t="str">
        <f>IFERROR(VLOOKUP($B225,'Cost Library'!$A$2:$M$159,2,FALSE),"")</f>
        <v/>
      </c>
      <c r="D225" s="14" t="str">
        <f>IFERROR(VLOOKUP($B225,'Cost Library'!$A$2:$M$159,3,FALSE),"")</f>
        <v/>
      </c>
      <c r="E225" s="13"/>
      <c r="F225" s="13"/>
      <c r="G225" s="13" t="str">
        <f>IFERROR(VLOOKUP($B225,'Cost Library'!$A$2:$M$159,5,FALSE),"")</f>
        <v/>
      </c>
      <c r="H225" s="13"/>
      <c r="I225" s="13"/>
      <c r="J225" s="13"/>
      <c r="K225" s="13"/>
      <c r="L225" s="13">
        <v>1</v>
      </c>
      <c r="M225" s="14" t="str">
        <f>IFERROR(VLOOKUP($B225,'Cost Library'!$A$2:$M$159,6,FALSE),"")</f>
        <v/>
      </c>
      <c r="N225" s="15">
        <f>IFERROR(VLOOKUP($B225,'Cost Library'!$A$2:$M$159,7,FALSE),0)</f>
        <v>0</v>
      </c>
      <c r="O225" s="15">
        <f>IFERROR(VLOOKUP($B225,'Cost Library'!$A$2:$M$159,8,FALSE),0)</f>
        <v>0</v>
      </c>
      <c r="P225" s="15">
        <f>IFERROR(VLOOKUP($B225,'Cost Library'!$A$2:$M$159,9,FALSE),0)</f>
        <v>0</v>
      </c>
      <c r="Q225" s="16"/>
      <c r="R225" s="16" t="s">
        <v>116</v>
      </c>
      <c r="S225" s="17">
        <f t="shared" si="51"/>
        <v>0</v>
      </c>
      <c r="T225" s="18">
        <f>'Project Inputs'!$C$15</f>
        <v>0.1</v>
      </c>
      <c r="U225" s="17">
        <f t="shared" si="52"/>
        <v>0</v>
      </c>
      <c r="V225" s="11" t="s">
        <v>247</v>
      </c>
      <c r="W225" s="14" t="str">
        <f>IFERROR(VLOOKUP($B225,'Cost Library'!$A$2:$M$159,10,FALSE),"")</f>
        <v/>
      </c>
      <c r="X225" s="11"/>
      <c r="Y225" s="11"/>
      <c r="Z225" s="11"/>
      <c r="AA225" s="11"/>
      <c r="AB225" s="11"/>
      <c r="AC225" s="11"/>
      <c r="AD225" s="30"/>
      <c r="AE225" s="31"/>
      <c r="AF225" s="3">
        <f t="shared" si="53"/>
        <v>0</v>
      </c>
      <c r="AG225" s="31"/>
      <c r="AH225" s="31"/>
      <c r="AI225" s="3">
        <f t="shared" si="54"/>
        <v>0</v>
      </c>
      <c r="AJ225" s="31"/>
      <c r="AK225" s="31"/>
      <c r="AL225" s="3">
        <f t="shared" si="55"/>
        <v>0</v>
      </c>
      <c r="AM225" s="3">
        <f>IF($A225&lt;&gt;"Yes",0,IF($R225="Detailed Breakdown",$AF225,$S225*IFERROR(VLOOKUP($B225,'Cost Library'!$A$2:$Q$159,14,FALSE),0.4)))</f>
        <v>0</v>
      </c>
      <c r="AN225" s="3">
        <f>IF($A225&lt;&gt;"Yes",0,IF($R225="Detailed Breakdown",$AI225,$S225*IFERROR(VLOOKUP($B225,'Cost Library'!$A$2:$Q$159,15,FALSE),0.5)))</f>
        <v>0</v>
      </c>
      <c r="AO225" s="3">
        <f>IF($A225&lt;&gt;"Yes",0,IF($R225="Detailed Breakdown",$AJ225+$AK225,$S225*IFERROR(VLOOKUP($B225,'Cost Library'!$A$2:$Q$159,16,FALSE),0.1)))</f>
        <v>0</v>
      </c>
      <c r="AP225" s="3">
        <f t="shared" si="56"/>
        <v>0</v>
      </c>
      <c r="AQ225" s="32">
        <f t="shared" si="57"/>
        <v>0</v>
      </c>
      <c r="AR225" s="32">
        <f t="shared" si="58"/>
        <v>0</v>
      </c>
      <c r="AS225" s="32">
        <f t="shared" si="59"/>
        <v>0</v>
      </c>
      <c r="AT225" s="2" t="str">
        <f t="shared" si="60"/>
        <v/>
      </c>
      <c r="AU225" s="31" t="s">
        <v>116</v>
      </c>
      <c r="AV225" s="3">
        <f t="shared" si="61"/>
        <v>0</v>
      </c>
      <c r="AW225" s="3">
        <f t="shared" si="62"/>
        <v>0</v>
      </c>
      <c r="AX225" s="3">
        <f t="shared" si="63"/>
        <v>0</v>
      </c>
      <c r="AY225" s="3">
        <f t="shared" si="64"/>
        <v>0</v>
      </c>
      <c r="AZ225" s="3">
        <f t="shared" si="65"/>
        <v>0</v>
      </c>
      <c r="BA225" s="32">
        <f t="shared" si="66"/>
        <v>0</v>
      </c>
      <c r="BB225" s="2" t="str">
        <f t="shared" si="67"/>
        <v/>
      </c>
    </row>
    <row r="226" spans="1:54" ht="14.4">
      <c r="A226" s="13" t="s">
        <v>161</v>
      </c>
      <c r="B226" s="13"/>
      <c r="C226" s="14" t="str">
        <f>IFERROR(VLOOKUP($B226,'Cost Library'!$A$2:$M$159,2,FALSE),"")</f>
        <v/>
      </c>
      <c r="D226" s="14" t="str">
        <f>IFERROR(VLOOKUP($B226,'Cost Library'!$A$2:$M$159,3,FALSE),"")</f>
        <v/>
      </c>
      <c r="E226" s="13"/>
      <c r="F226" s="13"/>
      <c r="G226" s="13" t="str">
        <f>IFERROR(VLOOKUP($B226,'Cost Library'!$A$2:$M$159,5,FALSE),"")</f>
        <v/>
      </c>
      <c r="H226" s="13"/>
      <c r="I226" s="13"/>
      <c r="J226" s="13"/>
      <c r="K226" s="13"/>
      <c r="L226" s="13">
        <v>1</v>
      </c>
      <c r="M226" s="14" t="str">
        <f>IFERROR(VLOOKUP($B226,'Cost Library'!$A$2:$M$159,6,FALSE),"")</f>
        <v/>
      </c>
      <c r="N226" s="15">
        <f>IFERROR(VLOOKUP($B226,'Cost Library'!$A$2:$M$159,7,FALSE),0)</f>
        <v>0</v>
      </c>
      <c r="O226" s="15">
        <f>IFERROR(VLOOKUP($B226,'Cost Library'!$A$2:$M$159,8,FALSE),0)</f>
        <v>0</v>
      </c>
      <c r="P226" s="15">
        <f>IFERROR(VLOOKUP($B226,'Cost Library'!$A$2:$M$159,9,FALSE),0)</f>
        <v>0</v>
      </c>
      <c r="Q226" s="16"/>
      <c r="R226" s="16" t="s">
        <v>116</v>
      </c>
      <c r="S226" s="17">
        <f t="shared" si="51"/>
        <v>0</v>
      </c>
      <c r="T226" s="18">
        <f>'Project Inputs'!$C$15</f>
        <v>0.1</v>
      </c>
      <c r="U226" s="17">
        <f t="shared" si="52"/>
        <v>0</v>
      </c>
      <c r="V226" s="11" t="s">
        <v>247</v>
      </c>
      <c r="W226" s="14" t="str">
        <f>IFERROR(VLOOKUP($B226,'Cost Library'!$A$2:$M$159,10,FALSE),"")</f>
        <v/>
      </c>
      <c r="X226" s="11"/>
      <c r="Y226" s="11"/>
      <c r="Z226" s="11"/>
      <c r="AA226" s="11"/>
      <c r="AB226" s="11"/>
      <c r="AC226" s="11"/>
      <c r="AD226" s="30"/>
      <c r="AE226" s="31"/>
      <c r="AF226" s="3">
        <f t="shared" si="53"/>
        <v>0</v>
      </c>
      <c r="AG226" s="31"/>
      <c r="AH226" s="31"/>
      <c r="AI226" s="3">
        <f t="shared" si="54"/>
        <v>0</v>
      </c>
      <c r="AJ226" s="31"/>
      <c r="AK226" s="31"/>
      <c r="AL226" s="3">
        <f t="shared" si="55"/>
        <v>0</v>
      </c>
      <c r="AM226" s="3">
        <f>IF($A226&lt;&gt;"Yes",0,IF($R226="Detailed Breakdown",$AF226,$S226*IFERROR(VLOOKUP($B226,'Cost Library'!$A$2:$Q$159,14,FALSE),0.4)))</f>
        <v>0</v>
      </c>
      <c r="AN226" s="3">
        <f>IF($A226&lt;&gt;"Yes",0,IF($R226="Detailed Breakdown",$AI226,$S226*IFERROR(VLOOKUP($B226,'Cost Library'!$A$2:$Q$159,15,FALSE),0.5)))</f>
        <v>0</v>
      </c>
      <c r="AO226" s="3">
        <f>IF($A226&lt;&gt;"Yes",0,IF($R226="Detailed Breakdown",$AJ226+$AK226,$S226*IFERROR(VLOOKUP($B226,'Cost Library'!$A$2:$Q$159,16,FALSE),0.1)))</f>
        <v>0</v>
      </c>
      <c r="AP226" s="3">
        <f t="shared" si="56"/>
        <v>0</v>
      </c>
      <c r="AQ226" s="32">
        <f t="shared" si="57"/>
        <v>0</v>
      </c>
      <c r="AR226" s="32">
        <f t="shared" si="58"/>
        <v>0</v>
      </c>
      <c r="AS226" s="32">
        <f t="shared" si="59"/>
        <v>0</v>
      </c>
      <c r="AT226" s="2" t="str">
        <f t="shared" si="60"/>
        <v/>
      </c>
      <c r="AU226" s="31" t="s">
        <v>116</v>
      </c>
      <c r="AV226" s="3">
        <f t="shared" si="61"/>
        <v>0</v>
      </c>
      <c r="AW226" s="3">
        <f t="shared" si="62"/>
        <v>0</v>
      </c>
      <c r="AX226" s="3">
        <f t="shared" si="63"/>
        <v>0</v>
      </c>
      <c r="AY226" s="3">
        <f t="shared" si="64"/>
        <v>0</v>
      </c>
      <c r="AZ226" s="3">
        <f t="shared" si="65"/>
        <v>0</v>
      </c>
      <c r="BA226" s="32">
        <f t="shared" si="66"/>
        <v>0</v>
      </c>
      <c r="BB226" s="2" t="str">
        <f t="shared" si="67"/>
        <v/>
      </c>
    </row>
    <row r="227" spans="1:54" ht="14.4">
      <c r="A227" s="13" t="s">
        <v>161</v>
      </c>
      <c r="B227" s="13"/>
      <c r="C227" s="14" t="str">
        <f>IFERROR(VLOOKUP($B227,'Cost Library'!$A$2:$M$159,2,FALSE),"")</f>
        <v/>
      </c>
      <c r="D227" s="14" t="str">
        <f>IFERROR(VLOOKUP($B227,'Cost Library'!$A$2:$M$159,3,FALSE),"")</f>
        <v/>
      </c>
      <c r="E227" s="13"/>
      <c r="F227" s="13"/>
      <c r="G227" s="13" t="str">
        <f>IFERROR(VLOOKUP($B227,'Cost Library'!$A$2:$M$159,5,FALSE),"")</f>
        <v/>
      </c>
      <c r="H227" s="13"/>
      <c r="I227" s="13"/>
      <c r="J227" s="13"/>
      <c r="K227" s="13"/>
      <c r="L227" s="13">
        <v>1</v>
      </c>
      <c r="M227" s="14" t="str">
        <f>IFERROR(VLOOKUP($B227,'Cost Library'!$A$2:$M$159,6,FALSE),"")</f>
        <v/>
      </c>
      <c r="N227" s="15">
        <f>IFERROR(VLOOKUP($B227,'Cost Library'!$A$2:$M$159,7,FALSE),0)</f>
        <v>0</v>
      </c>
      <c r="O227" s="15">
        <f>IFERROR(VLOOKUP($B227,'Cost Library'!$A$2:$M$159,8,FALSE),0)</f>
        <v>0</v>
      </c>
      <c r="P227" s="15">
        <f>IFERROR(VLOOKUP($B227,'Cost Library'!$A$2:$M$159,9,FALSE),0)</f>
        <v>0</v>
      </c>
      <c r="Q227" s="16"/>
      <c r="R227" s="16" t="s">
        <v>116</v>
      </c>
      <c r="S227" s="17">
        <f t="shared" si="51"/>
        <v>0</v>
      </c>
      <c r="T227" s="18">
        <f>'Project Inputs'!$C$15</f>
        <v>0.1</v>
      </c>
      <c r="U227" s="17">
        <f t="shared" si="52"/>
        <v>0</v>
      </c>
      <c r="V227" s="11" t="s">
        <v>247</v>
      </c>
      <c r="W227" s="14" t="str">
        <f>IFERROR(VLOOKUP($B227,'Cost Library'!$A$2:$M$159,10,FALSE),"")</f>
        <v/>
      </c>
      <c r="X227" s="11"/>
      <c r="Y227" s="11"/>
      <c r="Z227" s="11"/>
      <c r="AA227" s="11"/>
      <c r="AB227" s="11"/>
      <c r="AC227" s="11"/>
      <c r="AD227" s="30"/>
      <c r="AE227" s="31"/>
      <c r="AF227" s="3">
        <f t="shared" si="53"/>
        <v>0</v>
      </c>
      <c r="AG227" s="31"/>
      <c r="AH227" s="31"/>
      <c r="AI227" s="3">
        <f t="shared" si="54"/>
        <v>0</v>
      </c>
      <c r="AJ227" s="31"/>
      <c r="AK227" s="31"/>
      <c r="AL227" s="3">
        <f t="shared" si="55"/>
        <v>0</v>
      </c>
      <c r="AM227" s="3">
        <f>IF($A227&lt;&gt;"Yes",0,IF($R227="Detailed Breakdown",$AF227,$S227*IFERROR(VLOOKUP($B227,'Cost Library'!$A$2:$Q$159,14,FALSE),0.4)))</f>
        <v>0</v>
      </c>
      <c r="AN227" s="3">
        <f>IF($A227&lt;&gt;"Yes",0,IF($R227="Detailed Breakdown",$AI227,$S227*IFERROR(VLOOKUP($B227,'Cost Library'!$A$2:$Q$159,15,FALSE),0.5)))</f>
        <v>0</v>
      </c>
      <c r="AO227" s="3">
        <f>IF($A227&lt;&gt;"Yes",0,IF($R227="Detailed Breakdown",$AJ227+$AK227,$S227*IFERROR(VLOOKUP($B227,'Cost Library'!$A$2:$Q$159,16,FALSE),0.1)))</f>
        <v>0</v>
      </c>
      <c r="AP227" s="3">
        <f t="shared" si="56"/>
        <v>0</v>
      </c>
      <c r="AQ227" s="32">
        <f t="shared" si="57"/>
        <v>0</v>
      </c>
      <c r="AR227" s="32">
        <f t="shared" si="58"/>
        <v>0</v>
      </c>
      <c r="AS227" s="32">
        <f t="shared" si="59"/>
        <v>0</v>
      </c>
      <c r="AT227" s="2" t="str">
        <f t="shared" si="60"/>
        <v/>
      </c>
      <c r="AU227" s="31" t="s">
        <v>116</v>
      </c>
      <c r="AV227" s="3">
        <f t="shared" si="61"/>
        <v>0</v>
      </c>
      <c r="AW227" s="3">
        <f t="shared" si="62"/>
        <v>0</v>
      </c>
      <c r="AX227" s="3">
        <f t="shared" si="63"/>
        <v>0</v>
      </c>
      <c r="AY227" s="3">
        <f t="shared" si="64"/>
        <v>0</v>
      </c>
      <c r="AZ227" s="3">
        <f t="shared" si="65"/>
        <v>0</v>
      </c>
      <c r="BA227" s="32">
        <f t="shared" si="66"/>
        <v>0</v>
      </c>
      <c r="BB227" s="2" t="str">
        <f t="shared" si="67"/>
        <v/>
      </c>
    </row>
    <row r="228" spans="1:54" ht="14.4">
      <c r="A228" s="13" t="s">
        <v>161</v>
      </c>
      <c r="B228" s="13"/>
      <c r="C228" s="14" t="str">
        <f>IFERROR(VLOOKUP($B228,'Cost Library'!$A$2:$M$159,2,FALSE),"")</f>
        <v/>
      </c>
      <c r="D228" s="14" t="str">
        <f>IFERROR(VLOOKUP($B228,'Cost Library'!$A$2:$M$159,3,FALSE),"")</f>
        <v/>
      </c>
      <c r="E228" s="13"/>
      <c r="F228" s="13"/>
      <c r="G228" s="13" t="str">
        <f>IFERROR(VLOOKUP($B228,'Cost Library'!$A$2:$M$159,5,FALSE),"")</f>
        <v/>
      </c>
      <c r="H228" s="13"/>
      <c r="I228" s="13"/>
      <c r="J228" s="13"/>
      <c r="K228" s="13"/>
      <c r="L228" s="13">
        <v>1</v>
      </c>
      <c r="M228" s="14" t="str">
        <f>IFERROR(VLOOKUP($B228,'Cost Library'!$A$2:$M$159,6,FALSE),"")</f>
        <v/>
      </c>
      <c r="N228" s="15">
        <f>IFERROR(VLOOKUP($B228,'Cost Library'!$A$2:$M$159,7,FALSE),0)</f>
        <v>0</v>
      </c>
      <c r="O228" s="15">
        <f>IFERROR(VLOOKUP($B228,'Cost Library'!$A$2:$M$159,8,FALSE),0)</f>
        <v>0</v>
      </c>
      <c r="P228" s="15">
        <f>IFERROR(VLOOKUP($B228,'Cost Library'!$A$2:$M$159,9,FALSE),0)</f>
        <v>0</v>
      </c>
      <c r="Q228" s="16"/>
      <c r="R228" s="16" t="s">
        <v>116</v>
      </c>
      <c r="S228" s="17">
        <f t="shared" si="51"/>
        <v>0</v>
      </c>
      <c r="T228" s="18">
        <f>'Project Inputs'!$C$15</f>
        <v>0.1</v>
      </c>
      <c r="U228" s="17">
        <f t="shared" si="52"/>
        <v>0</v>
      </c>
      <c r="V228" s="11" t="s">
        <v>247</v>
      </c>
      <c r="W228" s="14" t="str">
        <f>IFERROR(VLOOKUP($B228,'Cost Library'!$A$2:$M$159,10,FALSE),"")</f>
        <v/>
      </c>
      <c r="X228" s="11"/>
      <c r="Y228" s="11"/>
      <c r="Z228" s="11"/>
      <c r="AA228" s="11"/>
      <c r="AB228" s="11"/>
      <c r="AC228" s="11"/>
      <c r="AD228" s="30"/>
      <c r="AE228" s="31"/>
      <c r="AF228" s="3">
        <f t="shared" si="53"/>
        <v>0</v>
      </c>
      <c r="AG228" s="31"/>
      <c r="AH228" s="31"/>
      <c r="AI228" s="3">
        <f t="shared" si="54"/>
        <v>0</v>
      </c>
      <c r="AJ228" s="31"/>
      <c r="AK228" s="31"/>
      <c r="AL228" s="3">
        <f t="shared" si="55"/>
        <v>0</v>
      </c>
      <c r="AM228" s="3">
        <f>IF($A228&lt;&gt;"Yes",0,IF($R228="Detailed Breakdown",$AF228,$S228*IFERROR(VLOOKUP($B228,'Cost Library'!$A$2:$Q$159,14,FALSE),0.4)))</f>
        <v>0</v>
      </c>
      <c r="AN228" s="3">
        <f>IF($A228&lt;&gt;"Yes",0,IF($R228="Detailed Breakdown",$AI228,$S228*IFERROR(VLOOKUP($B228,'Cost Library'!$A$2:$Q$159,15,FALSE),0.5)))</f>
        <v>0</v>
      </c>
      <c r="AO228" s="3">
        <f>IF($A228&lt;&gt;"Yes",0,IF($R228="Detailed Breakdown",$AJ228+$AK228,$S228*IFERROR(VLOOKUP($B228,'Cost Library'!$A$2:$Q$159,16,FALSE),0.1)))</f>
        <v>0</v>
      </c>
      <c r="AP228" s="3">
        <f t="shared" si="56"/>
        <v>0</v>
      </c>
      <c r="AQ228" s="32">
        <f t="shared" si="57"/>
        <v>0</v>
      </c>
      <c r="AR228" s="32">
        <f t="shared" si="58"/>
        <v>0</v>
      </c>
      <c r="AS228" s="32">
        <f t="shared" si="59"/>
        <v>0</v>
      </c>
      <c r="AT228" s="2" t="str">
        <f t="shared" si="60"/>
        <v/>
      </c>
      <c r="AU228" s="31" t="s">
        <v>116</v>
      </c>
      <c r="AV228" s="3">
        <f t="shared" si="61"/>
        <v>0</v>
      </c>
      <c r="AW228" s="3">
        <f t="shared" si="62"/>
        <v>0</v>
      </c>
      <c r="AX228" s="3">
        <f t="shared" si="63"/>
        <v>0</v>
      </c>
      <c r="AY228" s="3">
        <f t="shared" si="64"/>
        <v>0</v>
      </c>
      <c r="AZ228" s="3">
        <f t="shared" si="65"/>
        <v>0</v>
      </c>
      <c r="BA228" s="32">
        <f t="shared" si="66"/>
        <v>0</v>
      </c>
      <c r="BB228" s="2" t="str">
        <f t="shared" si="67"/>
        <v/>
      </c>
    </row>
    <row r="229" spans="1:54" ht="14.4">
      <c r="A229" s="13" t="s">
        <v>161</v>
      </c>
      <c r="B229" s="13"/>
      <c r="C229" s="14" t="str">
        <f>IFERROR(VLOOKUP($B229,'Cost Library'!$A$2:$M$159,2,FALSE),"")</f>
        <v/>
      </c>
      <c r="D229" s="14" t="str">
        <f>IFERROR(VLOOKUP($B229,'Cost Library'!$A$2:$M$159,3,FALSE),"")</f>
        <v/>
      </c>
      <c r="E229" s="13"/>
      <c r="F229" s="13"/>
      <c r="G229" s="13" t="str">
        <f>IFERROR(VLOOKUP($B229,'Cost Library'!$A$2:$M$159,5,FALSE),"")</f>
        <v/>
      </c>
      <c r="H229" s="13"/>
      <c r="I229" s="13"/>
      <c r="J229" s="13"/>
      <c r="K229" s="13"/>
      <c r="L229" s="13">
        <v>1</v>
      </c>
      <c r="M229" s="14" t="str">
        <f>IFERROR(VLOOKUP($B229,'Cost Library'!$A$2:$M$159,6,FALSE),"")</f>
        <v/>
      </c>
      <c r="N229" s="15">
        <f>IFERROR(VLOOKUP($B229,'Cost Library'!$A$2:$M$159,7,FALSE),0)</f>
        <v>0</v>
      </c>
      <c r="O229" s="15">
        <f>IFERROR(VLOOKUP($B229,'Cost Library'!$A$2:$M$159,8,FALSE),0)</f>
        <v>0</v>
      </c>
      <c r="P229" s="15">
        <f>IFERROR(VLOOKUP($B229,'Cost Library'!$A$2:$M$159,9,FALSE),0)</f>
        <v>0</v>
      </c>
      <c r="Q229" s="16"/>
      <c r="R229" s="16" t="s">
        <v>116</v>
      </c>
      <c r="S229" s="17">
        <f t="shared" si="51"/>
        <v>0</v>
      </c>
      <c r="T229" s="18">
        <f>'Project Inputs'!$C$15</f>
        <v>0.1</v>
      </c>
      <c r="U229" s="17">
        <f t="shared" si="52"/>
        <v>0</v>
      </c>
      <c r="V229" s="11" t="s">
        <v>247</v>
      </c>
      <c r="W229" s="14" t="str">
        <f>IFERROR(VLOOKUP($B229,'Cost Library'!$A$2:$M$159,10,FALSE),"")</f>
        <v/>
      </c>
      <c r="X229" s="11"/>
      <c r="Y229" s="11"/>
      <c r="Z229" s="11"/>
      <c r="AA229" s="11"/>
      <c r="AB229" s="11"/>
      <c r="AC229" s="11"/>
      <c r="AD229" s="30"/>
      <c r="AE229" s="31"/>
      <c r="AF229" s="3">
        <f t="shared" si="53"/>
        <v>0</v>
      </c>
      <c r="AG229" s="31"/>
      <c r="AH229" s="31"/>
      <c r="AI229" s="3">
        <f t="shared" si="54"/>
        <v>0</v>
      </c>
      <c r="AJ229" s="31"/>
      <c r="AK229" s="31"/>
      <c r="AL229" s="3">
        <f t="shared" si="55"/>
        <v>0</v>
      </c>
      <c r="AM229" s="3">
        <f>IF($A229&lt;&gt;"Yes",0,IF($R229="Detailed Breakdown",$AF229,$S229*IFERROR(VLOOKUP($B229,'Cost Library'!$A$2:$Q$159,14,FALSE),0.4)))</f>
        <v>0</v>
      </c>
      <c r="AN229" s="3">
        <f>IF($A229&lt;&gt;"Yes",0,IF($R229="Detailed Breakdown",$AI229,$S229*IFERROR(VLOOKUP($B229,'Cost Library'!$A$2:$Q$159,15,FALSE),0.5)))</f>
        <v>0</v>
      </c>
      <c r="AO229" s="3">
        <f>IF($A229&lt;&gt;"Yes",0,IF($R229="Detailed Breakdown",$AJ229+$AK229,$S229*IFERROR(VLOOKUP($B229,'Cost Library'!$A$2:$Q$159,16,FALSE),0.1)))</f>
        <v>0</v>
      </c>
      <c r="AP229" s="3">
        <f t="shared" si="56"/>
        <v>0</v>
      </c>
      <c r="AQ229" s="32">
        <f t="shared" si="57"/>
        <v>0</v>
      </c>
      <c r="AR229" s="32">
        <f t="shared" si="58"/>
        <v>0</v>
      </c>
      <c r="AS229" s="32">
        <f t="shared" si="59"/>
        <v>0</v>
      </c>
      <c r="AT229" s="2" t="str">
        <f t="shared" si="60"/>
        <v/>
      </c>
      <c r="AU229" s="31" t="s">
        <v>116</v>
      </c>
      <c r="AV229" s="3">
        <f t="shared" si="61"/>
        <v>0</v>
      </c>
      <c r="AW229" s="3">
        <f t="shared" si="62"/>
        <v>0</v>
      </c>
      <c r="AX229" s="3">
        <f t="shared" si="63"/>
        <v>0</v>
      </c>
      <c r="AY229" s="3">
        <f t="shared" si="64"/>
        <v>0</v>
      </c>
      <c r="AZ229" s="3">
        <f t="shared" si="65"/>
        <v>0</v>
      </c>
      <c r="BA229" s="32">
        <f t="shared" si="66"/>
        <v>0</v>
      </c>
      <c r="BB229" s="2" t="str">
        <f t="shared" si="67"/>
        <v/>
      </c>
    </row>
    <row r="230" spans="1:54" ht="14.4">
      <c r="A230" s="13" t="s">
        <v>161</v>
      </c>
      <c r="B230" s="13"/>
      <c r="C230" s="14" t="str">
        <f>IFERROR(VLOOKUP($B230,'Cost Library'!$A$2:$M$159,2,FALSE),"")</f>
        <v/>
      </c>
      <c r="D230" s="14" t="str">
        <f>IFERROR(VLOOKUP($B230,'Cost Library'!$A$2:$M$159,3,FALSE),"")</f>
        <v/>
      </c>
      <c r="E230" s="13"/>
      <c r="F230" s="13"/>
      <c r="G230" s="13" t="str">
        <f>IFERROR(VLOOKUP($B230,'Cost Library'!$A$2:$M$159,5,FALSE),"")</f>
        <v/>
      </c>
      <c r="H230" s="13"/>
      <c r="I230" s="13"/>
      <c r="J230" s="13"/>
      <c r="K230" s="13"/>
      <c r="L230" s="13">
        <v>1</v>
      </c>
      <c r="M230" s="14" t="str">
        <f>IFERROR(VLOOKUP($B230,'Cost Library'!$A$2:$M$159,6,FALSE),"")</f>
        <v/>
      </c>
      <c r="N230" s="15">
        <f>IFERROR(VLOOKUP($B230,'Cost Library'!$A$2:$M$159,7,FALSE),0)</f>
        <v>0</v>
      </c>
      <c r="O230" s="15">
        <f>IFERROR(VLOOKUP($B230,'Cost Library'!$A$2:$M$159,8,FALSE),0)</f>
        <v>0</v>
      </c>
      <c r="P230" s="15">
        <f>IFERROR(VLOOKUP($B230,'Cost Library'!$A$2:$M$159,9,FALSE),0)</f>
        <v>0</v>
      </c>
      <c r="Q230" s="16"/>
      <c r="R230" s="16" t="s">
        <v>116</v>
      </c>
      <c r="S230" s="17">
        <f t="shared" si="51"/>
        <v>0</v>
      </c>
      <c r="T230" s="18">
        <f>'Project Inputs'!$C$15</f>
        <v>0.1</v>
      </c>
      <c r="U230" s="17">
        <f t="shared" si="52"/>
        <v>0</v>
      </c>
      <c r="V230" s="11" t="s">
        <v>247</v>
      </c>
      <c r="W230" s="14" t="str">
        <f>IFERROR(VLOOKUP($B230,'Cost Library'!$A$2:$M$159,10,FALSE),"")</f>
        <v/>
      </c>
      <c r="X230" s="11"/>
      <c r="Y230" s="11"/>
      <c r="Z230" s="11"/>
      <c r="AA230" s="11"/>
      <c r="AB230" s="11"/>
      <c r="AC230" s="11"/>
      <c r="AD230" s="30"/>
      <c r="AE230" s="31"/>
      <c r="AF230" s="3">
        <f t="shared" si="53"/>
        <v>0</v>
      </c>
      <c r="AG230" s="31"/>
      <c r="AH230" s="31"/>
      <c r="AI230" s="3">
        <f t="shared" si="54"/>
        <v>0</v>
      </c>
      <c r="AJ230" s="31"/>
      <c r="AK230" s="31"/>
      <c r="AL230" s="3">
        <f t="shared" si="55"/>
        <v>0</v>
      </c>
      <c r="AM230" s="3">
        <f>IF($A230&lt;&gt;"Yes",0,IF($R230="Detailed Breakdown",$AF230,$S230*IFERROR(VLOOKUP($B230,'Cost Library'!$A$2:$Q$159,14,FALSE),0.4)))</f>
        <v>0</v>
      </c>
      <c r="AN230" s="3">
        <f>IF($A230&lt;&gt;"Yes",0,IF($R230="Detailed Breakdown",$AI230,$S230*IFERROR(VLOOKUP($B230,'Cost Library'!$A$2:$Q$159,15,FALSE),0.5)))</f>
        <v>0</v>
      </c>
      <c r="AO230" s="3">
        <f>IF($A230&lt;&gt;"Yes",0,IF($R230="Detailed Breakdown",$AJ230+$AK230,$S230*IFERROR(VLOOKUP($B230,'Cost Library'!$A$2:$Q$159,16,FALSE),0.1)))</f>
        <v>0</v>
      </c>
      <c r="AP230" s="3">
        <f t="shared" si="56"/>
        <v>0</v>
      </c>
      <c r="AQ230" s="32">
        <f t="shared" si="57"/>
        <v>0</v>
      </c>
      <c r="AR230" s="32">
        <f t="shared" si="58"/>
        <v>0</v>
      </c>
      <c r="AS230" s="32">
        <f t="shared" si="59"/>
        <v>0</v>
      </c>
      <c r="AT230" s="2" t="str">
        <f t="shared" si="60"/>
        <v/>
      </c>
      <c r="AU230" s="31" t="s">
        <v>116</v>
      </c>
      <c r="AV230" s="3">
        <f t="shared" si="61"/>
        <v>0</v>
      </c>
      <c r="AW230" s="3">
        <f t="shared" si="62"/>
        <v>0</v>
      </c>
      <c r="AX230" s="3">
        <f t="shared" si="63"/>
        <v>0</v>
      </c>
      <c r="AY230" s="3">
        <f t="shared" si="64"/>
        <v>0</v>
      </c>
      <c r="AZ230" s="3">
        <f t="shared" si="65"/>
        <v>0</v>
      </c>
      <c r="BA230" s="32">
        <f t="shared" si="66"/>
        <v>0</v>
      </c>
      <c r="BB230" s="2" t="str">
        <f t="shared" si="67"/>
        <v/>
      </c>
    </row>
    <row r="231" spans="1:54" ht="14.4">
      <c r="A231" s="13" t="s">
        <v>161</v>
      </c>
      <c r="B231" s="13"/>
      <c r="C231" s="14" t="str">
        <f>IFERROR(VLOOKUP($B231,'Cost Library'!$A$2:$M$159,2,FALSE),"")</f>
        <v/>
      </c>
      <c r="D231" s="14" t="str">
        <f>IFERROR(VLOOKUP($B231,'Cost Library'!$A$2:$M$159,3,FALSE),"")</f>
        <v/>
      </c>
      <c r="E231" s="13"/>
      <c r="F231" s="13"/>
      <c r="G231" s="13" t="str">
        <f>IFERROR(VLOOKUP($B231,'Cost Library'!$A$2:$M$159,5,FALSE),"")</f>
        <v/>
      </c>
      <c r="H231" s="13"/>
      <c r="I231" s="13"/>
      <c r="J231" s="13"/>
      <c r="K231" s="13"/>
      <c r="L231" s="13">
        <v>1</v>
      </c>
      <c r="M231" s="14" t="str">
        <f>IFERROR(VLOOKUP($B231,'Cost Library'!$A$2:$M$159,6,FALSE),"")</f>
        <v/>
      </c>
      <c r="N231" s="15">
        <f>IFERROR(VLOOKUP($B231,'Cost Library'!$A$2:$M$159,7,FALSE),0)</f>
        <v>0</v>
      </c>
      <c r="O231" s="15">
        <f>IFERROR(VLOOKUP($B231,'Cost Library'!$A$2:$M$159,8,FALSE),0)</f>
        <v>0</v>
      </c>
      <c r="P231" s="15">
        <f>IFERROR(VLOOKUP($B231,'Cost Library'!$A$2:$M$159,9,FALSE),0)</f>
        <v>0</v>
      </c>
      <c r="Q231" s="16"/>
      <c r="R231" s="16" t="s">
        <v>116</v>
      </c>
      <c r="S231" s="17">
        <f t="shared" si="51"/>
        <v>0</v>
      </c>
      <c r="T231" s="18">
        <f>'Project Inputs'!$C$15</f>
        <v>0.1</v>
      </c>
      <c r="U231" s="17">
        <f t="shared" si="52"/>
        <v>0</v>
      </c>
      <c r="V231" s="11" t="s">
        <v>247</v>
      </c>
      <c r="W231" s="14" t="str">
        <f>IFERROR(VLOOKUP($B231,'Cost Library'!$A$2:$M$159,10,FALSE),"")</f>
        <v/>
      </c>
      <c r="X231" s="11"/>
      <c r="Y231" s="11"/>
      <c r="Z231" s="11"/>
      <c r="AA231" s="11"/>
      <c r="AB231" s="11"/>
      <c r="AC231" s="11"/>
      <c r="AD231" s="30"/>
      <c r="AE231" s="31"/>
      <c r="AF231" s="3">
        <f t="shared" si="53"/>
        <v>0</v>
      </c>
      <c r="AG231" s="31"/>
      <c r="AH231" s="31"/>
      <c r="AI231" s="3">
        <f t="shared" si="54"/>
        <v>0</v>
      </c>
      <c r="AJ231" s="31"/>
      <c r="AK231" s="31"/>
      <c r="AL231" s="3">
        <f t="shared" si="55"/>
        <v>0</v>
      </c>
      <c r="AM231" s="3">
        <f>IF($A231&lt;&gt;"Yes",0,IF($R231="Detailed Breakdown",$AF231,$S231*IFERROR(VLOOKUP($B231,'Cost Library'!$A$2:$Q$159,14,FALSE),0.4)))</f>
        <v>0</v>
      </c>
      <c r="AN231" s="3">
        <f>IF($A231&lt;&gt;"Yes",0,IF($R231="Detailed Breakdown",$AI231,$S231*IFERROR(VLOOKUP($B231,'Cost Library'!$A$2:$Q$159,15,FALSE),0.5)))</f>
        <v>0</v>
      </c>
      <c r="AO231" s="3">
        <f>IF($A231&lt;&gt;"Yes",0,IF($R231="Detailed Breakdown",$AJ231+$AK231,$S231*IFERROR(VLOOKUP($B231,'Cost Library'!$A$2:$Q$159,16,FALSE),0.1)))</f>
        <v>0</v>
      </c>
      <c r="AP231" s="3">
        <f t="shared" si="56"/>
        <v>0</v>
      </c>
      <c r="AQ231" s="32">
        <f t="shared" si="57"/>
        <v>0</v>
      </c>
      <c r="AR231" s="32">
        <f t="shared" si="58"/>
        <v>0</v>
      </c>
      <c r="AS231" s="32">
        <f t="shared" si="59"/>
        <v>0</v>
      </c>
      <c r="AT231" s="2" t="str">
        <f t="shared" si="60"/>
        <v/>
      </c>
      <c r="AU231" s="31" t="s">
        <v>116</v>
      </c>
      <c r="AV231" s="3">
        <f t="shared" si="61"/>
        <v>0</v>
      </c>
      <c r="AW231" s="3">
        <f t="shared" si="62"/>
        <v>0</v>
      </c>
      <c r="AX231" s="3">
        <f t="shared" si="63"/>
        <v>0</v>
      </c>
      <c r="AY231" s="3">
        <f t="shared" si="64"/>
        <v>0</v>
      </c>
      <c r="AZ231" s="3">
        <f t="shared" si="65"/>
        <v>0</v>
      </c>
      <c r="BA231" s="32">
        <f t="shared" si="66"/>
        <v>0</v>
      </c>
      <c r="BB231" s="2" t="str">
        <f t="shared" si="67"/>
        <v/>
      </c>
    </row>
    <row r="232" spans="1:54" ht="14.4">
      <c r="A232" s="13" t="s">
        <v>161</v>
      </c>
      <c r="B232" s="13"/>
      <c r="C232" s="14" t="str">
        <f>IFERROR(VLOOKUP($B232,'Cost Library'!$A$2:$M$159,2,FALSE),"")</f>
        <v/>
      </c>
      <c r="D232" s="14" t="str">
        <f>IFERROR(VLOOKUP($B232,'Cost Library'!$A$2:$M$159,3,FALSE),"")</f>
        <v/>
      </c>
      <c r="E232" s="13"/>
      <c r="F232" s="13"/>
      <c r="G232" s="13" t="str">
        <f>IFERROR(VLOOKUP($B232,'Cost Library'!$A$2:$M$159,5,FALSE),"")</f>
        <v/>
      </c>
      <c r="H232" s="13"/>
      <c r="I232" s="13"/>
      <c r="J232" s="13"/>
      <c r="K232" s="13"/>
      <c r="L232" s="13">
        <v>1</v>
      </c>
      <c r="M232" s="14" t="str">
        <f>IFERROR(VLOOKUP($B232,'Cost Library'!$A$2:$M$159,6,FALSE),"")</f>
        <v/>
      </c>
      <c r="N232" s="15">
        <f>IFERROR(VLOOKUP($B232,'Cost Library'!$A$2:$M$159,7,FALSE),0)</f>
        <v>0</v>
      </c>
      <c r="O232" s="15">
        <f>IFERROR(VLOOKUP($B232,'Cost Library'!$A$2:$M$159,8,FALSE),0)</f>
        <v>0</v>
      </c>
      <c r="P232" s="15">
        <f>IFERROR(VLOOKUP($B232,'Cost Library'!$A$2:$M$159,9,FALSE),0)</f>
        <v>0</v>
      </c>
      <c r="Q232" s="16"/>
      <c r="R232" s="16" t="s">
        <v>116</v>
      </c>
      <c r="S232" s="17">
        <f t="shared" si="51"/>
        <v>0</v>
      </c>
      <c r="T232" s="18">
        <f>'Project Inputs'!$C$15</f>
        <v>0.1</v>
      </c>
      <c r="U232" s="17">
        <f t="shared" si="52"/>
        <v>0</v>
      </c>
      <c r="V232" s="11" t="s">
        <v>247</v>
      </c>
      <c r="W232" s="14" t="str">
        <f>IFERROR(VLOOKUP($B232,'Cost Library'!$A$2:$M$159,10,FALSE),"")</f>
        <v/>
      </c>
      <c r="X232" s="11"/>
      <c r="Y232" s="11"/>
      <c r="Z232" s="11"/>
      <c r="AA232" s="11"/>
      <c r="AB232" s="11"/>
      <c r="AC232" s="11"/>
      <c r="AD232" s="30"/>
      <c r="AE232" s="31"/>
      <c r="AF232" s="3">
        <f t="shared" si="53"/>
        <v>0</v>
      </c>
      <c r="AG232" s="31"/>
      <c r="AH232" s="31"/>
      <c r="AI232" s="3">
        <f t="shared" si="54"/>
        <v>0</v>
      </c>
      <c r="AJ232" s="31"/>
      <c r="AK232" s="31"/>
      <c r="AL232" s="3">
        <f t="shared" si="55"/>
        <v>0</v>
      </c>
      <c r="AM232" s="3">
        <f>IF($A232&lt;&gt;"Yes",0,IF($R232="Detailed Breakdown",$AF232,$S232*IFERROR(VLOOKUP($B232,'Cost Library'!$A$2:$Q$159,14,FALSE),0.4)))</f>
        <v>0</v>
      </c>
      <c r="AN232" s="3">
        <f>IF($A232&lt;&gt;"Yes",0,IF($R232="Detailed Breakdown",$AI232,$S232*IFERROR(VLOOKUP($B232,'Cost Library'!$A$2:$Q$159,15,FALSE),0.5)))</f>
        <v>0</v>
      </c>
      <c r="AO232" s="3">
        <f>IF($A232&lt;&gt;"Yes",0,IF($R232="Detailed Breakdown",$AJ232+$AK232,$S232*IFERROR(VLOOKUP($B232,'Cost Library'!$A$2:$Q$159,16,FALSE),0.1)))</f>
        <v>0</v>
      </c>
      <c r="AP232" s="3">
        <f t="shared" si="56"/>
        <v>0</v>
      </c>
      <c r="AQ232" s="32">
        <f t="shared" si="57"/>
        <v>0</v>
      </c>
      <c r="AR232" s="32">
        <f t="shared" si="58"/>
        <v>0</v>
      </c>
      <c r="AS232" s="32">
        <f t="shared" si="59"/>
        <v>0</v>
      </c>
      <c r="AT232" s="2" t="str">
        <f t="shared" si="60"/>
        <v/>
      </c>
      <c r="AU232" s="31" t="s">
        <v>116</v>
      </c>
      <c r="AV232" s="3">
        <f t="shared" si="61"/>
        <v>0</v>
      </c>
      <c r="AW232" s="3">
        <f t="shared" si="62"/>
        <v>0</v>
      </c>
      <c r="AX232" s="3">
        <f t="shared" si="63"/>
        <v>0</v>
      </c>
      <c r="AY232" s="3">
        <f t="shared" si="64"/>
        <v>0</v>
      </c>
      <c r="AZ232" s="3">
        <f t="shared" si="65"/>
        <v>0</v>
      </c>
      <c r="BA232" s="32">
        <f t="shared" si="66"/>
        <v>0</v>
      </c>
      <c r="BB232" s="2" t="str">
        <f t="shared" si="67"/>
        <v/>
      </c>
    </row>
    <row r="233" spans="1:54" ht="14.4">
      <c r="A233" s="13" t="s">
        <v>161</v>
      </c>
      <c r="B233" s="13"/>
      <c r="C233" s="14" t="str">
        <f>IFERROR(VLOOKUP($B233,'Cost Library'!$A$2:$M$159,2,FALSE),"")</f>
        <v/>
      </c>
      <c r="D233" s="14" t="str">
        <f>IFERROR(VLOOKUP($B233,'Cost Library'!$A$2:$M$159,3,FALSE),"")</f>
        <v/>
      </c>
      <c r="E233" s="13"/>
      <c r="F233" s="13"/>
      <c r="G233" s="13" t="str">
        <f>IFERROR(VLOOKUP($B233,'Cost Library'!$A$2:$M$159,5,FALSE),"")</f>
        <v/>
      </c>
      <c r="H233" s="13"/>
      <c r="I233" s="13"/>
      <c r="J233" s="13"/>
      <c r="K233" s="13"/>
      <c r="L233" s="13">
        <v>1</v>
      </c>
      <c r="M233" s="14" t="str">
        <f>IFERROR(VLOOKUP($B233,'Cost Library'!$A$2:$M$159,6,FALSE),"")</f>
        <v/>
      </c>
      <c r="N233" s="15">
        <f>IFERROR(VLOOKUP($B233,'Cost Library'!$A$2:$M$159,7,FALSE),0)</f>
        <v>0</v>
      </c>
      <c r="O233" s="15">
        <f>IFERROR(VLOOKUP($B233,'Cost Library'!$A$2:$M$159,8,FALSE),0)</f>
        <v>0</v>
      </c>
      <c r="P233" s="15">
        <f>IFERROR(VLOOKUP($B233,'Cost Library'!$A$2:$M$159,9,FALSE),0)</f>
        <v>0</v>
      </c>
      <c r="Q233" s="16"/>
      <c r="R233" s="16" t="s">
        <v>116</v>
      </c>
      <c r="S233" s="17">
        <f t="shared" si="51"/>
        <v>0</v>
      </c>
      <c r="T233" s="18">
        <f>'Project Inputs'!$C$15</f>
        <v>0.1</v>
      </c>
      <c r="U233" s="17">
        <f t="shared" si="52"/>
        <v>0</v>
      </c>
      <c r="V233" s="11" t="s">
        <v>247</v>
      </c>
      <c r="W233" s="14" t="str">
        <f>IFERROR(VLOOKUP($B233,'Cost Library'!$A$2:$M$159,10,FALSE),"")</f>
        <v/>
      </c>
      <c r="X233" s="11"/>
      <c r="Y233" s="11"/>
      <c r="Z233" s="11"/>
      <c r="AA233" s="11"/>
      <c r="AB233" s="11"/>
      <c r="AC233" s="11"/>
      <c r="AD233" s="30"/>
      <c r="AE233" s="31"/>
      <c r="AF233" s="3">
        <f t="shared" si="53"/>
        <v>0</v>
      </c>
      <c r="AG233" s="31"/>
      <c r="AH233" s="31"/>
      <c r="AI233" s="3">
        <f t="shared" si="54"/>
        <v>0</v>
      </c>
      <c r="AJ233" s="31"/>
      <c r="AK233" s="31"/>
      <c r="AL233" s="3">
        <f t="shared" si="55"/>
        <v>0</v>
      </c>
      <c r="AM233" s="3">
        <f>IF($A233&lt;&gt;"Yes",0,IF($R233="Detailed Breakdown",$AF233,$S233*IFERROR(VLOOKUP($B233,'Cost Library'!$A$2:$Q$159,14,FALSE),0.4)))</f>
        <v>0</v>
      </c>
      <c r="AN233" s="3">
        <f>IF($A233&lt;&gt;"Yes",0,IF($R233="Detailed Breakdown",$AI233,$S233*IFERROR(VLOOKUP($B233,'Cost Library'!$A$2:$Q$159,15,FALSE),0.5)))</f>
        <v>0</v>
      </c>
      <c r="AO233" s="3">
        <f>IF($A233&lt;&gt;"Yes",0,IF($R233="Detailed Breakdown",$AJ233+$AK233,$S233*IFERROR(VLOOKUP($B233,'Cost Library'!$A$2:$Q$159,16,FALSE),0.1)))</f>
        <v>0</v>
      </c>
      <c r="AP233" s="3">
        <f t="shared" si="56"/>
        <v>0</v>
      </c>
      <c r="AQ233" s="32">
        <f t="shared" si="57"/>
        <v>0</v>
      </c>
      <c r="AR233" s="32">
        <f t="shared" si="58"/>
        <v>0</v>
      </c>
      <c r="AS233" s="32">
        <f t="shared" si="59"/>
        <v>0</v>
      </c>
      <c r="AT233" s="2" t="str">
        <f t="shared" si="60"/>
        <v/>
      </c>
      <c r="AU233" s="31" t="s">
        <v>116</v>
      </c>
      <c r="AV233" s="3">
        <f t="shared" si="61"/>
        <v>0</v>
      </c>
      <c r="AW233" s="3">
        <f t="shared" si="62"/>
        <v>0</v>
      </c>
      <c r="AX233" s="3">
        <f t="shared" si="63"/>
        <v>0</v>
      </c>
      <c r="AY233" s="3">
        <f t="shared" si="64"/>
        <v>0</v>
      </c>
      <c r="AZ233" s="3">
        <f t="shared" si="65"/>
        <v>0</v>
      </c>
      <c r="BA233" s="32">
        <f t="shared" si="66"/>
        <v>0</v>
      </c>
      <c r="BB233" s="2" t="str">
        <f t="shared" si="67"/>
        <v/>
      </c>
    </row>
    <row r="234" spans="1:54" ht="14.4">
      <c r="A234" s="13" t="s">
        <v>161</v>
      </c>
      <c r="B234" s="13"/>
      <c r="C234" s="14" t="str">
        <f>IFERROR(VLOOKUP($B234,'Cost Library'!$A$2:$M$159,2,FALSE),"")</f>
        <v/>
      </c>
      <c r="D234" s="14" t="str">
        <f>IFERROR(VLOOKUP($B234,'Cost Library'!$A$2:$M$159,3,FALSE),"")</f>
        <v/>
      </c>
      <c r="E234" s="13"/>
      <c r="F234" s="13"/>
      <c r="G234" s="13" t="str">
        <f>IFERROR(VLOOKUP($B234,'Cost Library'!$A$2:$M$159,5,FALSE),"")</f>
        <v/>
      </c>
      <c r="H234" s="13"/>
      <c r="I234" s="13"/>
      <c r="J234" s="13"/>
      <c r="K234" s="13"/>
      <c r="L234" s="13">
        <v>1</v>
      </c>
      <c r="M234" s="14" t="str">
        <f>IFERROR(VLOOKUP($B234,'Cost Library'!$A$2:$M$159,6,FALSE),"")</f>
        <v/>
      </c>
      <c r="N234" s="15">
        <f>IFERROR(VLOOKUP($B234,'Cost Library'!$A$2:$M$159,7,FALSE),0)</f>
        <v>0</v>
      </c>
      <c r="O234" s="15">
        <f>IFERROR(VLOOKUP($B234,'Cost Library'!$A$2:$M$159,8,FALSE),0)</f>
        <v>0</v>
      </c>
      <c r="P234" s="15">
        <f>IFERROR(VLOOKUP($B234,'Cost Library'!$A$2:$M$159,9,FALSE),0)</f>
        <v>0</v>
      </c>
      <c r="Q234" s="16"/>
      <c r="R234" s="16" t="s">
        <v>116</v>
      </c>
      <c r="S234" s="17">
        <f t="shared" si="51"/>
        <v>0</v>
      </c>
      <c r="T234" s="18">
        <f>'Project Inputs'!$C$15</f>
        <v>0.1</v>
      </c>
      <c r="U234" s="17">
        <f t="shared" si="52"/>
        <v>0</v>
      </c>
      <c r="V234" s="11" t="s">
        <v>247</v>
      </c>
      <c r="W234" s="14" t="str">
        <f>IFERROR(VLOOKUP($B234,'Cost Library'!$A$2:$M$159,10,FALSE),"")</f>
        <v/>
      </c>
      <c r="X234" s="11"/>
      <c r="Y234" s="11"/>
      <c r="Z234" s="11"/>
      <c r="AA234" s="11"/>
      <c r="AB234" s="11"/>
      <c r="AC234" s="11"/>
      <c r="AD234" s="30"/>
      <c r="AE234" s="31"/>
      <c r="AF234" s="3">
        <f t="shared" si="53"/>
        <v>0</v>
      </c>
      <c r="AG234" s="31"/>
      <c r="AH234" s="31"/>
      <c r="AI234" s="3">
        <f t="shared" si="54"/>
        <v>0</v>
      </c>
      <c r="AJ234" s="31"/>
      <c r="AK234" s="31"/>
      <c r="AL234" s="3">
        <f t="shared" si="55"/>
        <v>0</v>
      </c>
      <c r="AM234" s="3">
        <f>IF($A234&lt;&gt;"Yes",0,IF($R234="Detailed Breakdown",$AF234,$S234*IFERROR(VLOOKUP($B234,'Cost Library'!$A$2:$Q$159,14,FALSE),0.4)))</f>
        <v>0</v>
      </c>
      <c r="AN234" s="3">
        <f>IF($A234&lt;&gt;"Yes",0,IF($R234="Detailed Breakdown",$AI234,$S234*IFERROR(VLOOKUP($B234,'Cost Library'!$A$2:$Q$159,15,FALSE),0.5)))</f>
        <v>0</v>
      </c>
      <c r="AO234" s="3">
        <f>IF($A234&lt;&gt;"Yes",0,IF($R234="Detailed Breakdown",$AJ234+$AK234,$S234*IFERROR(VLOOKUP($B234,'Cost Library'!$A$2:$Q$159,16,FALSE),0.1)))</f>
        <v>0</v>
      </c>
      <c r="AP234" s="3">
        <f t="shared" si="56"/>
        <v>0</v>
      </c>
      <c r="AQ234" s="32">
        <f t="shared" si="57"/>
        <v>0</v>
      </c>
      <c r="AR234" s="32">
        <f t="shared" si="58"/>
        <v>0</v>
      </c>
      <c r="AS234" s="32">
        <f t="shared" si="59"/>
        <v>0</v>
      </c>
      <c r="AT234" s="2" t="str">
        <f t="shared" si="60"/>
        <v/>
      </c>
      <c r="AU234" s="31" t="s">
        <v>116</v>
      </c>
      <c r="AV234" s="3">
        <f t="shared" si="61"/>
        <v>0</v>
      </c>
      <c r="AW234" s="3">
        <f t="shared" si="62"/>
        <v>0</v>
      </c>
      <c r="AX234" s="3">
        <f t="shared" si="63"/>
        <v>0</v>
      </c>
      <c r="AY234" s="3">
        <f t="shared" si="64"/>
        <v>0</v>
      </c>
      <c r="AZ234" s="3">
        <f t="shared" si="65"/>
        <v>0</v>
      </c>
      <c r="BA234" s="32">
        <f t="shared" si="66"/>
        <v>0</v>
      </c>
      <c r="BB234" s="2" t="str">
        <f t="shared" si="67"/>
        <v/>
      </c>
    </row>
    <row r="235" spans="1:54" ht="14.4">
      <c r="A235" s="13" t="s">
        <v>161</v>
      </c>
      <c r="B235" s="13"/>
      <c r="C235" s="14" t="str">
        <f>IFERROR(VLOOKUP($B235,'Cost Library'!$A$2:$M$159,2,FALSE),"")</f>
        <v/>
      </c>
      <c r="D235" s="14" t="str">
        <f>IFERROR(VLOOKUP($B235,'Cost Library'!$A$2:$M$159,3,FALSE),"")</f>
        <v/>
      </c>
      <c r="E235" s="13"/>
      <c r="F235" s="13"/>
      <c r="G235" s="13" t="str">
        <f>IFERROR(VLOOKUP($B235,'Cost Library'!$A$2:$M$159,5,FALSE),"")</f>
        <v/>
      </c>
      <c r="H235" s="13"/>
      <c r="I235" s="13"/>
      <c r="J235" s="13"/>
      <c r="K235" s="13"/>
      <c r="L235" s="13">
        <v>1</v>
      </c>
      <c r="M235" s="14" t="str">
        <f>IFERROR(VLOOKUP($B235,'Cost Library'!$A$2:$M$159,6,FALSE),"")</f>
        <v/>
      </c>
      <c r="N235" s="15">
        <f>IFERROR(VLOOKUP($B235,'Cost Library'!$A$2:$M$159,7,FALSE),0)</f>
        <v>0</v>
      </c>
      <c r="O235" s="15">
        <f>IFERROR(VLOOKUP($B235,'Cost Library'!$A$2:$M$159,8,FALSE),0)</f>
        <v>0</v>
      </c>
      <c r="P235" s="15">
        <f>IFERROR(VLOOKUP($B235,'Cost Library'!$A$2:$M$159,9,FALSE),0)</f>
        <v>0</v>
      </c>
      <c r="Q235" s="16"/>
      <c r="R235" s="16" t="s">
        <v>116</v>
      </c>
      <c r="S235" s="17">
        <f t="shared" si="51"/>
        <v>0</v>
      </c>
      <c r="T235" s="18">
        <f>'Project Inputs'!$C$15</f>
        <v>0.1</v>
      </c>
      <c r="U235" s="17">
        <f t="shared" si="52"/>
        <v>0</v>
      </c>
      <c r="V235" s="11" t="s">
        <v>247</v>
      </c>
      <c r="W235" s="14" t="str">
        <f>IFERROR(VLOOKUP($B235,'Cost Library'!$A$2:$M$159,10,FALSE),"")</f>
        <v/>
      </c>
      <c r="X235" s="11"/>
      <c r="Y235" s="11"/>
      <c r="Z235" s="11"/>
      <c r="AA235" s="11"/>
      <c r="AB235" s="11"/>
      <c r="AC235" s="11"/>
      <c r="AD235" s="30"/>
      <c r="AE235" s="31"/>
      <c r="AF235" s="3">
        <f t="shared" si="53"/>
        <v>0</v>
      </c>
      <c r="AG235" s="31"/>
      <c r="AH235" s="31"/>
      <c r="AI235" s="3">
        <f t="shared" si="54"/>
        <v>0</v>
      </c>
      <c r="AJ235" s="31"/>
      <c r="AK235" s="31"/>
      <c r="AL235" s="3">
        <f t="shared" si="55"/>
        <v>0</v>
      </c>
      <c r="AM235" s="3">
        <f>IF($A235&lt;&gt;"Yes",0,IF($R235="Detailed Breakdown",$AF235,$S235*IFERROR(VLOOKUP($B235,'Cost Library'!$A$2:$Q$159,14,FALSE),0.4)))</f>
        <v>0</v>
      </c>
      <c r="AN235" s="3">
        <f>IF($A235&lt;&gt;"Yes",0,IF($R235="Detailed Breakdown",$AI235,$S235*IFERROR(VLOOKUP($B235,'Cost Library'!$A$2:$Q$159,15,FALSE),0.5)))</f>
        <v>0</v>
      </c>
      <c r="AO235" s="3">
        <f>IF($A235&lt;&gt;"Yes",0,IF($R235="Detailed Breakdown",$AJ235+$AK235,$S235*IFERROR(VLOOKUP($B235,'Cost Library'!$A$2:$Q$159,16,FALSE),0.1)))</f>
        <v>0</v>
      </c>
      <c r="AP235" s="3">
        <f t="shared" si="56"/>
        <v>0</v>
      </c>
      <c r="AQ235" s="32">
        <f t="shared" si="57"/>
        <v>0</v>
      </c>
      <c r="AR235" s="32">
        <f t="shared" si="58"/>
        <v>0</v>
      </c>
      <c r="AS235" s="32">
        <f t="shared" si="59"/>
        <v>0</v>
      </c>
      <c r="AT235" s="2" t="str">
        <f t="shared" si="60"/>
        <v/>
      </c>
      <c r="AU235" s="31" t="s">
        <v>116</v>
      </c>
      <c r="AV235" s="3">
        <f t="shared" si="61"/>
        <v>0</v>
      </c>
      <c r="AW235" s="3">
        <f t="shared" si="62"/>
        <v>0</v>
      </c>
      <c r="AX235" s="3">
        <f t="shared" si="63"/>
        <v>0</v>
      </c>
      <c r="AY235" s="3">
        <f t="shared" si="64"/>
        <v>0</v>
      </c>
      <c r="AZ235" s="3">
        <f t="shared" si="65"/>
        <v>0</v>
      </c>
      <c r="BA235" s="32">
        <f t="shared" si="66"/>
        <v>0</v>
      </c>
      <c r="BB235" s="2" t="str">
        <f t="shared" si="67"/>
        <v/>
      </c>
    </row>
    <row r="236" spans="1:54" ht="14.4">
      <c r="A236" s="13" t="s">
        <v>161</v>
      </c>
      <c r="B236" s="13"/>
      <c r="C236" s="14" t="str">
        <f>IFERROR(VLOOKUP($B236,'Cost Library'!$A$2:$M$159,2,FALSE),"")</f>
        <v/>
      </c>
      <c r="D236" s="14" t="str">
        <f>IFERROR(VLOOKUP($B236,'Cost Library'!$A$2:$M$159,3,FALSE),"")</f>
        <v/>
      </c>
      <c r="E236" s="13"/>
      <c r="F236" s="13"/>
      <c r="G236" s="13" t="str">
        <f>IFERROR(VLOOKUP($B236,'Cost Library'!$A$2:$M$159,5,FALSE),"")</f>
        <v/>
      </c>
      <c r="H236" s="13"/>
      <c r="I236" s="13"/>
      <c r="J236" s="13"/>
      <c r="K236" s="13"/>
      <c r="L236" s="13">
        <v>1</v>
      </c>
      <c r="M236" s="14" t="str">
        <f>IFERROR(VLOOKUP($B236,'Cost Library'!$A$2:$M$159,6,FALSE),"")</f>
        <v/>
      </c>
      <c r="N236" s="15">
        <f>IFERROR(VLOOKUP($B236,'Cost Library'!$A$2:$M$159,7,FALSE),0)</f>
        <v>0</v>
      </c>
      <c r="O236" s="15">
        <f>IFERROR(VLOOKUP($B236,'Cost Library'!$A$2:$M$159,8,FALSE),0)</f>
        <v>0</v>
      </c>
      <c r="P236" s="15">
        <f>IFERROR(VLOOKUP($B236,'Cost Library'!$A$2:$M$159,9,FALSE),0)</f>
        <v>0</v>
      </c>
      <c r="Q236" s="16"/>
      <c r="R236" s="16" t="s">
        <v>116</v>
      </c>
      <c r="S236" s="17">
        <f t="shared" si="51"/>
        <v>0</v>
      </c>
      <c r="T236" s="18">
        <f>'Project Inputs'!$C$15</f>
        <v>0.1</v>
      </c>
      <c r="U236" s="17">
        <f t="shared" si="52"/>
        <v>0</v>
      </c>
      <c r="V236" s="11" t="s">
        <v>247</v>
      </c>
      <c r="W236" s="14" t="str">
        <f>IFERROR(VLOOKUP($B236,'Cost Library'!$A$2:$M$159,10,FALSE),"")</f>
        <v/>
      </c>
      <c r="X236" s="11"/>
      <c r="Y236" s="11"/>
      <c r="Z236" s="11"/>
      <c r="AA236" s="11"/>
      <c r="AB236" s="11"/>
      <c r="AC236" s="11"/>
      <c r="AD236" s="30"/>
      <c r="AE236" s="31"/>
      <c r="AF236" s="3">
        <f t="shared" si="53"/>
        <v>0</v>
      </c>
      <c r="AG236" s="31"/>
      <c r="AH236" s="31"/>
      <c r="AI236" s="3">
        <f t="shared" si="54"/>
        <v>0</v>
      </c>
      <c r="AJ236" s="31"/>
      <c r="AK236" s="31"/>
      <c r="AL236" s="3">
        <f t="shared" si="55"/>
        <v>0</v>
      </c>
      <c r="AM236" s="3">
        <f>IF($A236&lt;&gt;"Yes",0,IF($R236="Detailed Breakdown",$AF236,$S236*IFERROR(VLOOKUP($B236,'Cost Library'!$A$2:$Q$159,14,FALSE),0.4)))</f>
        <v>0</v>
      </c>
      <c r="AN236" s="3">
        <f>IF($A236&lt;&gt;"Yes",0,IF($R236="Detailed Breakdown",$AI236,$S236*IFERROR(VLOOKUP($B236,'Cost Library'!$A$2:$Q$159,15,FALSE),0.5)))</f>
        <v>0</v>
      </c>
      <c r="AO236" s="3">
        <f>IF($A236&lt;&gt;"Yes",0,IF($R236="Detailed Breakdown",$AJ236+$AK236,$S236*IFERROR(VLOOKUP($B236,'Cost Library'!$A$2:$Q$159,16,FALSE),0.1)))</f>
        <v>0</v>
      </c>
      <c r="AP236" s="3">
        <f t="shared" si="56"/>
        <v>0</v>
      </c>
      <c r="AQ236" s="32">
        <f t="shared" si="57"/>
        <v>0</v>
      </c>
      <c r="AR236" s="32">
        <f t="shared" si="58"/>
        <v>0</v>
      </c>
      <c r="AS236" s="32">
        <f t="shared" si="59"/>
        <v>0</v>
      </c>
      <c r="AT236" s="2" t="str">
        <f t="shared" si="60"/>
        <v/>
      </c>
      <c r="AU236" s="31" t="s">
        <v>116</v>
      </c>
      <c r="AV236" s="3">
        <f t="shared" si="61"/>
        <v>0</v>
      </c>
      <c r="AW236" s="3">
        <f t="shared" si="62"/>
        <v>0</v>
      </c>
      <c r="AX236" s="3">
        <f t="shared" si="63"/>
        <v>0</v>
      </c>
      <c r="AY236" s="3">
        <f t="shared" si="64"/>
        <v>0</v>
      </c>
      <c r="AZ236" s="3">
        <f t="shared" si="65"/>
        <v>0</v>
      </c>
      <c r="BA236" s="32">
        <f t="shared" si="66"/>
        <v>0</v>
      </c>
      <c r="BB236" s="2" t="str">
        <f t="shared" si="67"/>
        <v/>
      </c>
    </row>
    <row r="237" spans="1:54" ht="14.4">
      <c r="A237" s="13" t="s">
        <v>161</v>
      </c>
      <c r="B237" s="13"/>
      <c r="C237" s="14" t="str">
        <f>IFERROR(VLOOKUP($B237,'Cost Library'!$A$2:$M$159,2,FALSE),"")</f>
        <v/>
      </c>
      <c r="D237" s="14" t="str">
        <f>IFERROR(VLOOKUP($B237,'Cost Library'!$A$2:$M$159,3,FALSE),"")</f>
        <v/>
      </c>
      <c r="E237" s="13"/>
      <c r="F237" s="13"/>
      <c r="G237" s="13" t="str">
        <f>IFERROR(VLOOKUP($B237,'Cost Library'!$A$2:$M$159,5,FALSE),"")</f>
        <v/>
      </c>
      <c r="H237" s="13"/>
      <c r="I237" s="13"/>
      <c r="J237" s="13"/>
      <c r="K237" s="13"/>
      <c r="L237" s="13">
        <v>1</v>
      </c>
      <c r="M237" s="14" t="str">
        <f>IFERROR(VLOOKUP($B237,'Cost Library'!$A$2:$M$159,6,FALSE),"")</f>
        <v/>
      </c>
      <c r="N237" s="15">
        <f>IFERROR(VLOOKUP($B237,'Cost Library'!$A$2:$M$159,7,FALSE),0)</f>
        <v>0</v>
      </c>
      <c r="O237" s="15">
        <f>IFERROR(VLOOKUP($B237,'Cost Library'!$A$2:$M$159,8,FALSE),0)</f>
        <v>0</v>
      </c>
      <c r="P237" s="15">
        <f>IFERROR(VLOOKUP($B237,'Cost Library'!$A$2:$M$159,9,FALSE),0)</f>
        <v>0</v>
      </c>
      <c r="Q237" s="16"/>
      <c r="R237" s="16" t="s">
        <v>116</v>
      </c>
      <c r="S237" s="17">
        <f t="shared" si="51"/>
        <v>0</v>
      </c>
      <c r="T237" s="18">
        <f>'Project Inputs'!$C$15</f>
        <v>0.1</v>
      </c>
      <c r="U237" s="17">
        <f t="shared" si="52"/>
        <v>0</v>
      </c>
      <c r="V237" s="11" t="s">
        <v>247</v>
      </c>
      <c r="W237" s="14" t="str">
        <f>IFERROR(VLOOKUP($B237,'Cost Library'!$A$2:$M$159,10,FALSE),"")</f>
        <v/>
      </c>
      <c r="X237" s="11"/>
      <c r="Y237" s="11"/>
      <c r="Z237" s="11"/>
      <c r="AA237" s="11"/>
      <c r="AB237" s="11"/>
      <c r="AC237" s="11"/>
      <c r="AD237" s="30"/>
      <c r="AE237" s="31"/>
      <c r="AF237" s="3">
        <f t="shared" si="53"/>
        <v>0</v>
      </c>
      <c r="AG237" s="31"/>
      <c r="AH237" s="31"/>
      <c r="AI237" s="3">
        <f t="shared" si="54"/>
        <v>0</v>
      </c>
      <c r="AJ237" s="31"/>
      <c r="AK237" s="31"/>
      <c r="AL237" s="3">
        <f t="shared" si="55"/>
        <v>0</v>
      </c>
      <c r="AM237" s="3">
        <f>IF($A237&lt;&gt;"Yes",0,IF($R237="Detailed Breakdown",$AF237,$S237*IFERROR(VLOOKUP($B237,'Cost Library'!$A$2:$Q$159,14,FALSE),0.4)))</f>
        <v>0</v>
      </c>
      <c r="AN237" s="3">
        <f>IF($A237&lt;&gt;"Yes",0,IF($R237="Detailed Breakdown",$AI237,$S237*IFERROR(VLOOKUP($B237,'Cost Library'!$A$2:$Q$159,15,FALSE),0.5)))</f>
        <v>0</v>
      </c>
      <c r="AO237" s="3">
        <f>IF($A237&lt;&gt;"Yes",0,IF($R237="Detailed Breakdown",$AJ237+$AK237,$S237*IFERROR(VLOOKUP($B237,'Cost Library'!$A$2:$Q$159,16,FALSE),0.1)))</f>
        <v>0</v>
      </c>
      <c r="AP237" s="3">
        <f t="shared" si="56"/>
        <v>0</v>
      </c>
      <c r="AQ237" s="32">
        <f t="shared" si="57"/>
        <v>0</v>
      </c>
      <c r="AR237" s="32">
        <f t="shared" si="58"/>
        <v>0</v>
      </c>
      <c r="AS237" s="32">
        <f t="shared" si="59"/>
        <v>0</v>
      </c>
      <c r="AT237" s="2" t="str">
        <f t="shared" si="60"/>
        <v/>
      </c>
      <c r="AU237" s="31" t="s">
        <v>116</v>
      </c>
      <c r="AV237" s="3">
        <f t="shared" si="61"/>
        <v>0</v>
      </c>
      <c r="AW237" s="3">
        <f t="shared" si="62"/>
        <v>0</v>
      </c>
      <c r="AX237" s="3">
        <f t="shared" si="63"/>
        <v>0</v>
      </c>
      <c r="AY237" s="3">
        <f t="shared" si="64"/>
        <v>0</v>
      </c>
      <c r="AZ237" s="3">
        <f t="shared" si="65"/>
        <v>0</v>
      </c>
      <c r="BA237" s="32">
        <f t="shared" si="66"/>
        <v>0</v>
      </c>
      <c r="BB237" s="2" t="str">
        <f t="shared" si="67"/>
        <v/>
      </c>
    </row>
    <row r="238" spans="1:54" ht="14.4">
      <c r="A238" s="13" t="s">
        <v>161</v>
      </c>
      <c r="B238" s="13"/>
      <c r="C238" s="14" t="str">
        <f>IFERROR(VLOOKUP($B238,'Cost Library'!$A$2:$M$159,2,FALSE),"")</f>
        <v/>
      </c>
      <c r="D238" s="14" t="str">
        <f>IFERROR(VLOOKUP($B238,'Cost Library'!$A$2:$M$159,3,FALSE),"")</f>
        <v/>
      </c>
      <c r="E238" s="13"/>
      <c r="F238" s="13"/>
      <c r="G238" s="13" t="str">
        <f>IFERROR(VLOOKUP($B238,'Cost Library'!$A$2:$M$159,5,FALSE),"")</f>
        <v/>
      </c>
      <c r="H238" s="13"/>
      <c r="I238" s="13"/>
      <c r="J238" s="13"/>
      <c r="K238" s="13"/>
      <c r="L238" s="13">
        <v>1</v>
      </c>
      <c r="M238" s="14" t="str">
        <f>IFERROR(VLOOKUP($B238,'Cost Library'!$A$2:$M$159,6,FALSE),"")</f>
        <v/>
      </c>
      <c r="N238" s="15">
        <f>IFERROR(VLOOKUP($B238,'Cost Library'!$A$2:$M$159,7,FALSE),0)</f>
        <v>0</v>
      </c>
      <c r="O238" s="15">
        <f>IFERROR(VLOOKUP($B238,'Cost Library'!$A$2:$M$159,8,FALSE),0)</f>
        <v>0</v>
      </c>
      <c r="P238" s="15">
        <f>IFERROR(VLOOKUP($B238,'Cost Library'!$A$2:$M$159,9,FALSE),0)</f>
        <v>0</v>
      </c>
      <c r="Q238" s="16"/>
      <c r="R238" s="16" t="s">
        <v>116</v>
      </c>
      <c r="S238" s="17">
        <f t="shared" si="51"/>
        <v>0</v>
      </c>
      <c r="T238" s="18">
        <f>'Project Inputs'!$C$15</f>
        <v>0.1</v>
      </c>
      <c r="U238" s="17">
        <f t="shared" si="52"/>
        <v>0</v>
      </c>
      <c r="V238" s="11" t="s">
        <v>247</v>
      </c>
      <c r="W238" s="14" t="str">
        <f>IFERROR(VLOOKUP($B238,'Cost Library'!$A$2:$M$159,10,FALSE),"")</f>
        <v/>
      </c>
      <c r="X238" s="11"/>
      <c r="Y238" s="11"/>
      <c r="Z238" s="11"/>
      <c r="AA238" s="11"/>
      <c r="AB238" s="11"/>
      <c r="AC238" s="11"/>
      <c r="AD238" s="30"/>
      <c r="AE238" s="31"/>
      <c r="AF238" s="3">
        <f t="shared" si="53"/>
        <v>0</v>
      </c>
      <c r="AG238" s="31"/>
      <c r="AH238" s="31"/>
      <c r="AI238" s="3">
        <f t="shared" si="54"/>
        <v>0</v>
      </c>
      <c r="AJ238" s="31"/>
      <c r="AK238" s="31"/>
      <c r="AL238" s="3">
        <f t="shared" si="55"/>
        <v>0</v>
      </c>
      <c r="AM238" s="3">
        <f>IF($A238&lt;&gt;"Yes",0,IF($R238="Detailed Breakdown",$AF238,$S238*IFERROR(VLOOKUP($B238,'Cost Library'!$A$2:$Q$159,14,FALSE),0.4)))</f>
        <v>0</v>
      </c>
      <c r="AN238" s="3">
        <f>IF($A238&lt;&gt;"Yes",0,IF($R238="Detailed Breakdown",$AI238,$S238*IFERROR(VLOOKUP($B238,'Cost Library'!$A$2:$Q$159,15,FALSE),0.5)))</f>
        <v>0</v>
      </c>
      <c r="AO238" s="3">
        <f>IF($A238&lt;&gt;"Yes",0,IF($R238="Detailed Breakdown",$AJ238+$AK238,$S238*IFERROR(VLOOKUP($B238,'Cost Library'!$A$2:$Q$159,16,FALSE),0.1)))</f>
        <v>0</v>
      </c>
      <c r="AP238" s="3">
        <f t="shared" si="56"/>
        <v>0</v>
      </c>
      <c r="AQ238" s="32">
        <f t="shared" si="57"/>
        <v>0</v>
      </c>
      <c r="AR238" s="32">
        <f t="shared" si="58"/>
        <v>0</v>
      </c>
      <c r="AS238" s="32">
        <f t="shared" si="59"/>
        <v>0</v>
      </c>
      <c r="AT238" s="2" t="str">
        <f t="shared" si="60"/>
        <v/>
      </c>
      <c r="AU238" s="31" t="s">
        <v>116</v>
      </c>
      <c r="AV238" s="3">
        <f t="shared" si="61"/>
        <v>0</v>
      </c>
      <c r="AW238" s="3">
        <f t="shared" si="62"/>
        <v>0</v>
      </c>
      <c r="AX238" s="3">
        <f t="shared" si="63"/>
        <v>0</v>
      </c>
      <c r="AY238" s="3">
        <f t="shared" si="64"/>
        <v>0</v>
      </c>
      <c r="AZ238" s="3">
        <f t="shared" si="65"/>
        <v>0</v>
      </c>
      <c r="BA238" s="32">
        <f t="shared" si="66"/>
        <v>0</v>
      </c>
      <c r="BB238" s="2" t="str">
        <f t="shared" si="67"/>
        <v/>
      </c>
    </row>
    <row r="239" spans="1:54" ht="14.4">
      <c r="A239" s="13" t="s">
        <v>161</v>
      </c>
      <c r="B239" s="13"/>
      <c r="C239" s="14" t="str">
        <f>IFERROR(VLOOKUP($B239,'Cost Library'!$A$2:$M$159,2,FALSE),"")</f>
        <v/>
      </c>
      <c r="D239" s="14" t="str">
        <f>IFERROR(VLOOKUP($B239,'Cost Library'!$A$2:$M$159,3,FALSE),"")</f>
        <v/>
      </c>
      <c r="E239" s="13"/>
      <c r="F239" s="13"/>
      <c r="G239" s="13" t="str">
        <f>IFERROR(VLOOKUP($B239,'Cost Library'!$A$2:$M$159,5,FALSE),"")</f>
        <v/>
      </c>
      <c r="H239" s="13"/>
      <c r="I239" s="13"/>
      <c r="J239" s="13"/>
      <c r="K239" s="13"/>
      <c r="L239" s="13">
        <v>1</v>
      </c>
      <c r="M239" s="14" t="str">
        <f>IFERROR(VLOOKUP($B239,'Cost Library'!$A$2:$M$159,6,FALSE),"")</f>
        <v/>
      </c>
      <c r="N239" s="15">
        <f>IFERROR(VLOOKUP($B239,'Cost Library'!$A$2:$M$159,7,FALSE),0)</f>
        <v>0</v>
      </c>
      <c r="O239" s="15">
        <f>IFERROR(VLOOKUP($B239,'Cost Library'!$A$2:$M$159,8,FALSE),0)</f>
        <v>0</v>
      </c>
      <c r="P239" s="15">
        <f>IFERROR(VLOOKUP($B239,'Cost Library'!$A$2:$M$159,9,FALSE),0)</f>
        <v>0</v>
      </c>
      <c r="Q239" s="16"/>
      <c r="R239" s="16" t="s">
        <v>116</v>
      </c>
      <c r="S239" s="17">
        <f t="shared" si="51"/>
        <v>0</v>
      </c>
      <c r="T239" s="18">
        <f>'Project Inputs'!$C$15</f>
        <v>0.1</v>
      </c>
      <c r="U239" s="17">
        <f t="shared" si="52"/>
        <v>0</v>
      </c>
      <c r="V239" s="11" t="s">
        <v>247</v>
      </c>
      <c r="W239" s="14" t="str">
        <f>IFERROR(VLOOKUP($B239,'Cost Library'!$A$2:$M$159,10,FALSE),"")</f>
        <v/>
      </c>
      <c r="X239" s="11"/>
      <c r="Y239" s="11"/>
      <c r="Z239" s="11"/>
      <c r="AA239" s="11"/>
      <c r="AB239" s="11"/>
      <c r="AC239" s="11"/>
      <c r="AD239" s="30"/>
      <c r="AE239" s="31"/>
      <c r="AF239" s="3">
        <f t="shared" si="53"/>
        <v>0</v>
      </c>
      <c r="AG239" s="31"/>
      <c r="AH239" s="31"/>
      <c r="AI239" s="3">
        <f t="shared" si="54"/>
        <v>0</v>
      </c>
      <c r="AJ239" s="31"/>
      <c r="AK239" s="31"/>
      <c r="AL239" s="3">
        <f t="shared" si="55"/>
        <v>0</v>
      </c>
      <c r="AM239" s="3">
        <f>IF($A239&lt;&gt;"Yes",0,IF($R239="Detailed Breakdown",$AF239,$S239*IFERROR(VLOOKUP($B239,'Cost Library'!$A$2:$Q$159,14,FALSE),0.4)))</f>
        <v>0</v>
      </c>
      <c r="AN239" s="3">
        <f>IF($A239&lt;&gt;"Yes",0,IF($R239="Detailed Breakdown",$AI239,$S239*IFERROR(VLOOKUP($B239,'Cost Library'!$A$2:$Q$159,15,FALSE),0.5)))</f>
        <v>0</v>
      </c>
      <c r="AO239" s="3">
        <f>IF($A239&lt;&gt;"Yes",0,IF($R239="Detailed Breakdown",$AJ239+$AK239,$S239*IFERROR(VLOOKUP($B239,'Cost Library'!$A$2:$Q$159,16,FALSE),0.1)))</f>
        <v>0</v>
      </c>
      <c r="AP239" s="3">
        <f t="shared" si="56"/>
        <v>0</v>
      </c>
      <c r="AQ239" s="32">
        <f t="shared" si="57"/>
        <v>0</v>
      </c>
      <c r="AR239" s="32">
        <f t="shared" si="58"/>
        <v>0</v>
      </c>
      <c r="AS239" s="32">
        <f t="shared" si="59"/>
        <v>0</v>
      </c>
      <c r="AT239" s="2" t="str">
        <f t="shared" si="60"/>
        <v/>
      </c>
      <c r="AU239" s="31" t="s">
        <v>116</v>
      </c>
      <c r="AV239" s="3">
        <f t="shared" si="61"/>
        <v>0</v>
      </c>
      <c r="AW239" s="3">
        <f t="shared" si="62"/>
        <v>0</v>
      </c>
      <c r="AX239" s="3">
        <f t="shared" si="63"/>
        <v>0</v>
      </c>
      <c r="AY239" s="3">
        <f t="shared" si="64"/>
        <v>0</v>
      </c>
      <c r="AZ239" s="3">
        <f t="shared" si="65"/>
        <v>0</v>
      </c>
      <c r="BA239" s="32">
        <f t="shared" si="66"/>
        <v>0</v>
      </c>
      <c r="BB239" s="2" t="str">
        <f t="shared" si="67"/>
        <v/>
      </c>
    </row>
    <row r="240" spans="1:54" ht="14.4">
      <c r="A240" s="13" t="s">
        <v>161</v>
      </c>
      <c r="B240" s="13"/>
      <c r="C240" s="14" t="str">
        <f>IFERROR(VLOOKUP($B240,'Cost Library'!$A$2:$M$159,2,FALSE),"")</f>
        <v/>
      </c>
      <c r="D240" s="14" t="str">
        <f>IFERROR(VLOOKUP($B240,'Cost Library'!$A$2:$M$159,3,FALSE),"")</f>
        <v/>
      </c>
      <c r="E240" s="13"/>
      <c r="F240" s="13"/>
      <c r="G240" s="13" t="str">
        <f>IFERROR(VLOOKUP($B240,'Cost Library'!$A$2:$M$159,5,FALSE),"")</f>
        <v/>
      </c>
      <c r="H240" s="13"/>
      <c r="I240" s="13"/>
      <c r="J240" s="13"/>
      <c r="K240" s="13"/>
      <c r="L240" s="13">
        <v>1</v>
      </c>
      <c r="M240" s="14" t="str">
        <f>IFERROR(VLOOKUP($B240,'Cost Library'!$A$2:$M$159,6,FALSE),"")</f>
        <v/>
      </c>
      <c r="N240" s="15">
        <f>IFERROR(VLOOKUP($B240,'Cost Library'!$A$2:$M$159,7,FALSE),0)</f>
        <v>0</v>
      </c>
      <c r="O240" s="15">
        <f>IFERROR(VLOOKUP($B240,'Cost Library'!$A$2:$M$159,8,FALSE),0)</f>
        <v>0</v>
      </c>
      <c r="P240" s="15">
        <f>IFERROR(VLOOKUP($B240,'Cost Library'!$A$2:$M$159,9,FALSE),0)</f>
        <v>0</v>
      </c>
      <c r="Q240" s="16"/>
      <c r="R240" s="16" t="s">
        <v>116</v>
      </c>
      <c r="S240" s="17">
        <f t="shared" si="51"/>
        <v>0</v>
      </c>
      <c r="T240" s="18">
        <f>'Project Inputs'!$C$15</f>
        <v>0.1</v>
      </c>
      <c r="U240" s="17">
        <f t="shared" si="52"/>
        <v>0</v>
      </c>
      <c r="V240" s="11" t="s">
        <v>247</v>
      </c>
      <c r="W240" s="14" t="str">
        <f>IFERROR(VLOOKUP($B240,'Cost Library'!$A$2:$M$159,10,FALSE),"")</f>
        <v/>
      </c>
      <c r="X240" s="11"/>
      <c r="Y240" s="11"/>
      <c r="Z240" s="11"/>
      <c r="AA240" s="11"/>
      <c r="AB240" s="11"/>
      <c r="AC240" s="11"/>
      <c r="AD240" s="30"/>
      <c r="AE240" s="31"/>
      <c r="AF240" s="3">
        <f t="shared" si="53"/>
        <v>0</v>
      </c>
      <c r="AG240" s="31"/>
      <c r="AH240" s="31"/>
      <c r="AI240" s="3">
        <f t="shared" si="54"/>
        <v>0</v>
      </c>
      <c r="AJ240" s="31"/>
      <c r="AK240" s="31"/>
      <c r="AL240" s="3">
        <f t="shared" si="55"/>
        <v>0</v>
      </c>
      <c r="AM240" s="3">
        <f>IF($A240&lt;&gt;"Yes",0,IF($R240="Detailed Breakdown",$AF240,$S240*IFERROR(VLOOKUP($B240,'Cost Library'!$A$2:$Q$159,14,FALSE),0.4)))</f>
        <v>0</v>
      </c>
      <c r="AN240" s="3">
        <f>IF($A240&lt;&gt;"Yes",0,IF($R240="Detailed Breakdown",$AI240,$S240*IFERROR(VLOOKUP($B240,'Cost Library'!$A$2:$Q$159,15,FALSE),0.5)))</f>
        <v>0</v>
      </c>
      <c r="AO240" s="3">
        <f>IF($A240&lt;&gt;"Yes",0,IF($R240="Detailed Breakdown",$AJ240+$AK240,$S240*IFERROR(VLOOKUP($B240,'Cost Library'!$A$2:$Q$159,16,FALSE),0.1)))</f>
        <v>0</v>
      </c>
      <c r="AP240" s="3">
        <f t="shared" si="56"/>
        <v>0</v>
      </c>
      <c r="AQ240" s="32">
        <f t="shared" si="57"/>
        <v>0</v>
      </c>
      <c r="AR240" s="32">
        <f t="shared" si="58"/>
        <v>0</v>
      </c>
      <c r="AS240" s="32">
        <f t="shared" si="59"/>
        <v>0</v>
      </c>
      <c r="AT240" s="2" t="str">
        <f t="shared" si="60"/>
        <v/>
      </c>
      <c r="AU240" s="31" t="s">
        <v>116</v>
      </c>
      <c r="AV240" s="3">
        <f t="shared" si="61"/>
        <v>0</v>
      </c>
      <c r="AW240" s="3">
        <f t="shared" si="62"/>
        <v>0</v>
      </c>
      <c r="AX240" s="3">
        <f t="shared" si="63"/>
        <v>0</v>
      </c>
      <c r="AY240" s="3">
        <f t="shared" si="64"/>
        <v>0</v>
      </c>
      <c r="AZ240" s="3">
        <f t="shared" si="65"/>
        <v>0</v>
      </c>
      <c r="BA240" s="32">
        <f t="shared" si="66"/>
        <v>0</v>
      </c>
      <c r="BB240" s="2" t="str">
        <f t="shared" si="67"/>
        <v/>
      </c>
    </row>
    <row r="241" spans="1:54" ht="14.4">
      <c r="A241" s="13" t="s">
        <v>161</v>
      </c>
      <c r="B241" s="13"/>
      <c r="C241" s="14" t="str">
        <f>IFERROR(VLOOKUP($B241,'Cost Library'!$A$2:$M$159,2,FALSE),"")</f>
        <v/>
      </c>
      <c r="D241" s="14" t="str">
        <f>IFERROR(VLOOKUP($B241,'Cost Library'!$A$2:$M$159,3,FALSE),"")</f>
        <v/>
      </c>
      <c r="E241" s="13"/>
      <c r="F241" s="13"/>
      <c r="G241" s="13" t="str">
        <f>IFERROR(VLOOKUP($B241,'Cost Library'!$A$2:$M$159,5,FALSE),"")</f>
        <v/>
      </c>
      <c r="H241" s="13"/>
      <c r="I241" s="13"/>
      <c r="J241" s="13"/>
      <c r="K241" s="13"/>
      <c r="L241" s="13">
        <v>1</v>
      </c>
      <c r="M241" s="14" t="str">
        <f>IFERROR(VLOOKUP($B241,'Cost Library'!$A$2:$M$159,6,FALSE),"")</f>
        <v/>
      </c>
      <c r="N241" s="15">
        <f>IFERROR(VLOOKUP($B241,'Cost Library'!$A$2:$M$159,7,FALSE),0)</f>
        <v>0</v>
      </c>
      <c r="O241" s="15">
        <f>IFERROR(VLOOKUP($B241,'Cost Library'!$A$2:$M$159,8,FALSE),0)</f>
        <v>0</v>
      </c>
      <c r="P241" s="15">
        <f>IFERROR(VLOOKUP($B241,'Cost Library'!$A$2:$M$159,9,FALSE),0)</f>
        <v>0</v>
      </c>
      <c r="Q241" s="16"/>
      <c r="R241" s="16" t="s">
        <v>116</v>
      </c>
      <c r="S241" s="17">
        <f t="shared" si="51"/>
        <v>0</v>
      </c>
      <c r="T241" s="18">
        <f>'Project Inputs'!$C$15</f>
        <v>0.1</v>
      </c>
      <c r="U241" s="17">
        <f t="shared" si="52"/>
        <v>0</v>
      </c>
      <c r="V241" s="11" t="s">
        <v>247</v>
      </c>
      <c r="W241" s="14" t="str">
        <f>IFERROR(VLOOKUP($B241,'Cost Library'!$A$2:$M$159,10,FALSE),"")</f>
        <v/>
      </c>
      <c r="X241" s="11"/>
      <c r="Y241" s="11"/>
      <c r="Z241" s="11"/>
      <c r="AA241" s="11"/>
      <c r="AB241" s="11"/>
      <c r="AC241" s="11"/>
      <c r="AD241" s="30"/>
      <c r="AE241" s="31"/>
      <c r="AF241" s="3">
        <f t="shared" si="53"/>
        <v>0</v>
      </c>
      <c r="AG241" s="31"/>
      <c r="AH241" s="31"/>
      <c r="AI241" s="3">
        <f t="shared" si="54"/>
        <v>0</v>
      </c>
      <c r="AJ241" s="31"/>
      <c r="AK241" s="31"/>
      <c r="AL241" s="3">
        <f t="shared" si="55"/>
        <v>0</v>
      </c>
      <c r="AM241" s="3">
        <f>IF($A241&lt;&gt;"Yes",0,IF($R241="Detailed Breakdown",$AF241,$S241*IFERROR(VLOOKUP($B241,'Cost Library'!$A$2:$Q$159,14,FALSE),0.4)))</f>
        <v>0</v>
      </c>
      <c r="AN241" s="3">
        <f>IF($A241&lt;&gt;"Yes",0,IF($R241="Detailed Breakdown",$AI241,$S241*IFERROR(VLOOKUP($B241,'Cost Library'!$A$2:$Q$159,15,FALSE),0.5)))</f>
        <v>0</v>
      </c>
      <c r="AO241" s="3">
        <f>IF($A241&lt;&gt;"Yes",0,IF($R241="Detailed Breakdown",$AJ241+$AK241,$S241*IFERROR(VLOOKUP($B241,'Cost Library'!$A$2:$Q$159,16,FALSE),0.1)))</f>
        <v>0</v>
      </c>
      <c r="AP241" s="3">
        <f t="shared" si="56"/>
        <v>0</v>
      </c>
      <c r="AQ241" s="32">
        <f t="shared" si="57"/>
        <v>0</v>
      </c>
      <c r="AR241" s="32">
        <f t="shared" si="58"/>
        <v>0</v>
      </c>
      <c r="AS241" s="32">
        <f t="shared" si="59"/>
        <v>0</v>
      </c>
      <c r="AT241" s="2" t="str">
        <f t="shared" si="60"/>
        <v/>
      </c>
      <c r="AU241" s="31" t="s">
        <v>116</v>
      </c>
      <c r="AV241" s="3">
        <f t="shared" si="61"/>
        <v>0</v>
      </c>
      <c r="AW241" s="3">
        <f t="shared" si="62"/>
        <v>0</v>
      </c>
      <c r="AX241" s="3">
        <f t="shared" si="63"/>
        <v>0</v>
      </c>
      <c r="AY241" s="3">
        <f t="shared" si="64"/>
        <v>0</v>
      </c>
      <c r="AZ241" s="3">
        <f t="shared" si="65"/>
        <v>0</v>
      </c>
      <c r="BA241" s="32">
        <f t="shared" si="66"/>
        <v>0</v>
      </c>
      <c r="BB241" s="2" t="str">
        <f t="shared" si="67"/>
        <v/>
      </c>
    </row>
    <row r="242" spans="1:54" ht="14.4">
      <c r="A242" s="13" t="s">
        <v>161</v>
      </c>
      <c r="B242" s="13"/>
      <c r="C242" s="14" t="str">
        <f>IFERROR(VLOOKUP($B242,'Cost Library'!$A$2:$M$159,2,FALSE),"")</f>
        <v/>
      </c>
      <c r="D242" s="14" t="str">
        <f>IFERROR(VLOOKUP($B242,'Cost Library'!$A$2:$M$159,3,FALSE),"")</f>
        <v/>
      </c>
      <c r="E242" s="13"/>
      <c r="F242" s="13"/>
      <c r="G242" s="13" t="str">
        <f>IFERROR(VLOOKUP($B242,'Cost Library'!$A$2:$M$159,5,FALSE),"")</f>
        <v/>
      </c>
      <c r="H242" s="13"/>
      <c r="I242" s="13"/>
      <c r="J242" s="13"/>
      <c r="K242" s="13"/>
      <c r="L242" s="13">
        <v>1</v>
      </c>
      <c r="M242" s="14" t="str">
        <f>IFERROR(VLOOKUP($B242,'Cost Library'!$A$2:$M$159,6,FALSE),"")</f>
        <v/>
      </c>
      <c r="N242" s="15">
        <f>IFERROR(VLOOKUP($B242,'Cost Library'!$A$2:$M$159,7,FALSE),0)</f>
        <v>0</v>
      </c>
      <c r="O242" s="15">
        <f>IFERROR(VLOOKUP($B242,'Cost Library'!$A$2:$M$159,8,FALSE),0)</f>
        <v>0</v>
      </c>
      <c r="P242" s="15">
        <f>IFERROR(VLOOKUP($B242,'Cost Library'!$A$2:$M$159,9,FALSE),0)</f>
        <v>0</v>
      </c>
      <c r="Q242" s="16"/>
      <c r="R242" s="16" t="s">
        <v>116</v>
      </c>
      <c r="S242" s="17">
        <f t="shared" si="51"/>
        <v>0</v>
      </c>
      <c r="T242" s="18">
        <f>'Project Inputs'!$C$15</f>
        <v>0.1</v>
      </c>
      <c r="U242" s="17">
        <f t="shared" si="52"/>
        <v>0</v>
      </c>
      <c r="V242" s="11" t="s">
        <v>247</v>
      </c>
      <c r="W242" s="14" t="str">
        <f>IFERROR(VLOOKUP($B242,'Cost Library'!$A$2:$M$159,10,FALSE),"")</f>
        <v/>
      </c>
      <c r="X242" s="11"/>
      <c r="Y242" s="11"/>
      <c r="Z242" s="11"/>
      <c r="AA242" s="11"/>
      <c r="AB242" s="11"/>
      <c r="AC242" s="11"/>
      <c r="AD242" s="30"/>
      <c r="AE242" s="31"/>
      <c r="AF242" s="3">
        <f t="shared" si="53"/>
        <v>0</v>
      </c>
      <c r="AG242" s="31"/>
      <c r="AH242" s="31"/>
      <c r="AI242" s="3">
        <f t="shared" si="54"/>
        <v>0</v>
      </c>
      <c r="AJ242" s="31"/>
      <c r="AK242" s="31"/>
      <c r="AL242" s="3">
        <f t="shared" si="55"/>
        <v>0</v>
      </c>
      <c r="AM242" s="3">
        <f>IF($A242&lt;&gt;"Yes",0,IF($R242="Detailed Breakdown",$AF242,$S242*IFERROR(VLOOKUP($B242,'Cost Library'!$A$2:$Q$159,14,FALSE),0.4)))</f>
        <v>0</v>
      </c>
      <c r="AN242" s="3">
        <f>IF($A242&lt;&gt;"Yes",0,IF($R242="Detailed Breakdown",$AI242,$S242*IFERROR(VLOOKUP($B242,'Cost Library'!$A$2:$Q$159,15,FALSE),0.5)))</f>
        <v>0</v>
      </c>
      <c r="AO242" s="3">
        <f>IF($A242&lt;&gt;"Yes",0,IF($R242="Detailed Breakdown",$AJ242+$AK242,$S242*IFERROR(VLOOKUP($B242,'Cost Library'!$A$2:$Q$159,16,FALSE),0.1)))</f>
        <v>0</v>
      </c>
      <c r="AP242" s="3">
        <f t="shared" si="56"/>
        <v>0</v>
      </c>
      <c r="AQ242" s="32">
        <f t="shared" si="57"/>
        <v>0</v>
      </c>
      <c r="AR242" s="32">
        <f t="shared" si="58"/>
        <v>0</v>
      </c>
      <c r="AS242" s="32">
        <f t="shared" si="59"/>
        <v>0</v>
      </c>
      <c r="AT242" s="2" t="str">
        <f t="shared" si="60"/>
        <v/>
      </c>
      <c r="AU242" s="31" t="s">
        <v>116</v>
      </c>
      <c r="AV242" s="3">
        <f t="shared" si="61"/>
        <v>0</v>
      </c>
      <c r="AW242" s="3">
        <f t="shared" si="62"/>
        <v>0</v>
      </c>
      <c r="AX242" s="3">
        <f t="shared" si="63"/>
        <v>0</v>
      </c>
      <c r="AY242" s="3">
        <f t="shared" si="64"/>
        <v>0</v>
      </c>
      <c r="AZ242" s="3">
        <f t="shared" si="65"/>
        <v>0</v>
      </c>
      <c r="BA242" s="32">
        <f t="shared" si="66"/>
        <v>0</v>
      </c>
      <c r="BB242" s="2" t="str">
        <f t="shared" si="67"/>
        <v/>
      </c>
    </row>
    <row r="243" spans="1:54" ht="14.4">
      <c r="A243" s="13" t="s">
        <v>161</v>
      </c>
      <c r="B243" s="13"/>
      <c r="C243" s="14" t="str">
        <f>IFERROR(VLOOKUP($B243,'Cost Library'!$A$2:$M$159,2,FALSE),"")</f>
        <v/>
      </c>
      <c r="D243" s="14" t="str">
        <f>IFERROR(VLOOKUP($B243,'Cost Library'!$A$2:$M$159,3,FALSE),"")</f>
        <v/>
      </c>
      <c r="E243" s="13"/>
      <c r="F243" s="13"/>
      <c r="G243" s="13" t="str">
        <f>IFERROR(VLOOKUP($B243,'Cost Library'!$A$2:$M$159,5,FALSE),"")</f>
        <v/>
      </c>
      <c r="H243" s="13"/>
      <c r="I243" s="13"/>
      <c r="J243" s="13"/>
      <c r="K243" s="13"/>
      <c r="L243" s="13">
        <v>1</v>
      </c>
      <c r="M243" s="14" t="str">
        <f>IFERROR(VLOOKUP($B243,'Cost Library'!$A$2:$M$159,6,FALSE),"")</f>
        <v/>
      </c>
      <c r="N243" s="15">
        <f>IFERROR(VLOOKUP($B243,'Cost Library'!$A$2:$M$159,7,FALSE),0)</f>
        <v>0</v>
      </c>
      <c r="O243" s="15">
        <f>IFERROR(VLOOKUP($B243,'Cost Library'!$A$2:$M$159,8,FALSE),0)</f>
        <v>0</v>
      </c>
      <c r="P243" s="15">
        <f>IFERROR(VLOOKUP($B243,'Cost Library'!$A$2:$M$159,9,FALSE),0)</f>
        <v>0</v>
      </c>
      <c r="Q243" s="16"/>
      <c r="R243" s="16" t="s">
        <v>116</v>
      </c>
      <c r="S243" s="17">
        <f t="shared" si="51"/>
        <v>0</v>
      </c>
      <c r="T243" s="18">
        <f>'Project Inputs'!$C$15</f>
        <v>0.1</v>
      </c>
      <c r="U243" s="17">
        <f t="shared" si="52"/>
        <v>0</v>
      </c>
      <c r="V243" s="11" t="s">
        <v>247</v>
      </c>
      <c r="W243" s="14" t="str">
        <f>IFERROR(VLOOKUP($B243,'Cost Library'!$A$2:$M$159,10,FALSE),"")</f>
        <v/>
      </c>
      <c r="X243" s="11"/>
      <c r="Y243" s="11"/>
      <c r="Z243" s="11"/>
      <c r="AA243" s="11"/>
      <c r="AB243" s="11"/>
      <c r="AC243" s="11"/>
      <c r="AD243" s="30"/>
      <c r="AE243" s="31"/>
      <c r="AF243" s="3">
        <f t="shared" si="53"/>
        <v>0</v>
      </c>
      <c r="AG243" s="31"/>
      <c r="AH243" s="31"/>
      <c r="AI243" s="3">
        <f t="shared" si="54"/>
        <v>0</v>
      </c>
      <c r="AJ243" s="31"/>
      <c r="AK243" s="31"/>
      <c r="AL243" s="3">
        <f t="shared" si="55"/>
        <v>0</v>
      </c>
      <c r="AM243" s="3">
        <f>IF($A243&lt;&gt;"Yes",0,IF($R243="Detailed Breakdown",$AF243,$S243*IFERROR(VLOOKUP($B243,'Cost Library'!$A$2:$Q$159,14,FALSE),0.4)))</f>
        <v>0</v>
      </c>
      <c r="AN243" s="3">
        <f>IF($A243&lt;&gt;"Yes",0,IF($R243="Detailed Breakdown",$AI243,$S243*IFERROR(VLOOKUP($B243,'Cost Library'!$A$2:$Q$159,15,FALSE),0.5)))</f>
        <v>0</v>
      </c>
      <c r="AO243" s="3">
        <f>IF($A243&lt;&gt;"Yes",0,IF($R243="Detailed Breakdown",$AJ243+$AK243,$S243*IFERROR(VLOOKUP($B243,'Cost Library'!$A$2:$Q$159,16,FALSE),0.1)))</f>
        <v>0</v>
      </c>
      <c r="AP243" s="3">
        <f t="shared" si="56"/>
        <v>0</v>
      </c>
      <c r="AQ243" s="32">
        <f t="shared" si="57"/>
        <v>0</v>
      </c>
      <c r="AR243" s="32">
        <f t="shared" si="58"/>
        <v>0</v>
      </c>
      <c r="AS243" s="32">
        <f t="shared" si="59"/>
        <v>0</v>
      </c>
      <c r="AT243" s="2" t="str">
        <f t="shared" si="60"/>
        <v/>
      </c>
      <c r="AU243" s="31" t="s">
        <v>116</v>
      </c>
      <c r="AV243" s="3">
        <f t="shared" si="61"/>
        <v>0</v>
      </c>
      <c r="AW243" s="3">
        <f t="shared" si="62"/>
        <v>0</v>
      </c>
      <c r="AX243" s="3">
        <f t="shared" si="63"/>
        <v>0</v>
      </c>
      <c r="AY243" s="3">
        <f t="shared" si="64"/>
        <v>0</v>
      </c>
      <c r="AZ243" s="3">
        <f t="shared" si="65"/>
        <v>0</v>
      </c>
      <c r="BA243" s="32">
        <f t="shared" si="66"/>
        <v>0</v>
      </c>
      <c r="BB243" s="2" t="str">
        <f t="shared" si="67"/>
        <v/>
      </c>
    </row>
    <row r="244" spans="1:54" ht="14.4">
      <c r="A244" s="13" t="s">
        <v>161</v>
      </c>
      <c r="B244" s="13"/>
      <c r="C244" s="14" t="str">
        <f>IFERROR(VLOOKUP($B244,'Cost Library'!$A$2:$M$159,2,FALSE),"")</f>
        <v/>
      </c>
      <c r="D244" s="14" t="str">
        <f>IFERROR(VLOOKUP($B244,'Cost Library'!$A$2:$M$159,3,FALSE),"")</f>
        <v/>
      </c>
      <c r="E244" s="13"/>
      <c r="F244" s="13"/>
      <c r="G244" s="13" t="str">
        <f>IFERROR(VLOOKUP($B244,'Cost Library'!$A$2:$M$159,5,FALSE),"")</f>
        <v/>
      </c>
      <c r="H244" s="13"/>
      <c r="I244" s="13"/>
      <c r="J244" s="13"/>
      <c r="K244" s="13"/>
      <c r="L244" s="13">
        <v>1</v>
      </c>
      <c r="M244" s="14" t="str">
        <f>IFERROR(VLOOKUP($B244,'Cost Library'!$A$2:$M$159,6,FALSE),"")</f>
        <v/>
      </c>
      <c r="N244" s="15">
        <f>IFERROR(VLOOKUP($B244,'Cost Library'!$A$2:$M$159,7,FALSE),0)</f>
        <v>0</v>
      </c>
      <c r="O244" s="15">
        <f>IFERROR(VLOOKUP($B244,'Cost Library'!$A$2:$M$159,8,FALSE),0)</f>
        <v>0</v>
      </c>
      <c r="P244" s="15">
        <f>IFERROR(VLOOKUP($B244,'Cost Library'!$A$2:$M$159,9,FALSE),0)</f>
        <v>0</v>
      </c>
      <c r="Q244" s="16"/>
      <c r="R244" s="16" t="s">
        <v>116</v>
      </c>
      <c r="S244" s="17">
        <f t="shared" si="51"/>
        <v>0</v>
      </c>
      <c r="T244" s="18">
        <f>'Project Inputs'!$C$15</f>
        <v>0.1</v>
      </c>
      <c r="U244" s="17">
        <f t="shared" si="52"/>
        <v>0</v>
      </c>
      <c r="V244" s="11" t="s">
        <v>247</v>
      </c>
      <c r="W244" s="14" t="str">
        <f>IFERROR(VLOOKUP($B244,'Cost Library'!$A$2:$M$159,10,FALSE),"")</f>
        <v/>
      </c>
      <c r="X244" s="11"/>
      <c r="Y244" s="11"/>
      <c r="Z244" s="11"/>
      <c r="AA244" s="11"/>
      <c r="AB244" s="11"/>
      <c r="AC244" s="11"/>
      <c r="AD244" s="30"/>
      <c r="AE244" s="31"/>
      <c r="AF244" s="3">
        <f t="shared" si="53"/>
        <v>0</v>
      </c>
      <c r="AG244" s="31"/>
      <c r="AH244" s="31"/>
      <c r="AI244" s="3">
        <f t="shared" si="54"/>
        <v>0</v>
      </c>
      <c r="AJ244" s="31"/>
      <c r="AK244" s="31"/>
      <c r="AL244" s="3">
        <f t="shared" si="55"/>
        <v>0</v>
      </c>
      <c r="AM244" s="3">
        <f>IF($A244&lt;&gt;"Yes",0,IF($R244="Detailed Breakdown",$AF244,$S244*IFERROR(VLOOKUP($B244,'Cost Library'!$A$2:$Q$159,14,FALSE),0.4)))</f>
        <v>0</v>
      </c>
      <c r="AN244" s="3">
        <f>IF($A244&lt;&gt;"Yes",0,IF($R244="Detailed Breakdown",$AI244,$S244*IFERROR(VLOOKUP($B244,'Cost Library'!$A$2:$Q$159,15,FALSE),0.5)))</f>
        <v>0</v>
      </c>
      <c r="AO244" s="3">
        <f>IF($A244&lt;&gt;"Yes",0,IF($R244="Detailed Breakdown",$AJ244+$AK244,$S244*IFERROR(VLOOKUP($B244,'Cost Library'!$A$2:$Q$159,16,FALSE),0.1)))</f>
        <v>0</v>
      </c>
      <c r="AP244" s="3">
        <f t="shared" si="56"/>
        <v>0</v>
      </c>
      <c r="AQ244" s="32">
        <f t="shared" si="57"/>
        <v>0</v>
      </c>
      <c r="AR244" s="32">
        <f t="shared" si="58"/>
        <v>0</v>
      </c>
      <c r="AS244" s="32">
        <f t="shared" si="59"/>
        <v>0</v>
      </c>
      <c r="AT244" s="2" t="str">
        <f t="shared" si="60"/>
        <v/>
      </c>
      <c r="AU244" s="31" t="s">
        <v>116</v>
      </c>
      <c r="AV244" s="3">
        <f t="shared" si="61"/>
        <v>0</v>
      </c>
      <c r="AW244" s="3">
        <f t="shared" si="62"/>
        <v>0</v>
      </c>
      <c r="AX244" s="3">
        <f t="shared" si="63"/>
        <v>0</v>
      </c>
      <c r="AY244" s="3">
        <f t="shared" si="64"/>
        <v>0</v>
      </c>
      <c r="AZ244" s="3">
        <f t="shared" si="65"/>
        <v>0</v>
      </c>
      <c r="BA244" s="32">
        <f t="shared" si="66"/>
        <v>0</v>
      </c>
      <c r="BB244" s="2" t="str">
        <f t="shared" si="67"/>
        <v/>
      </c>
    </row>
    <row r="245" spans="1:54" ht="14.4">
      <c r="A245" s="13" t="s">
        <v>161</v>
      </c>
      <c r="B245" s="13"/>
      <c r="C245" s="14" t="str">
        <f>IFERROR(VLOOKUP($B245,'Cost Library'!$A$2:$M$159,2,FALSE),"")</f>
        <v/>
      </c>
      <c r="D245" s="14" t="str">
        <f>IFERROR(VLOOKUP($B245,'Cost Library'!$A$2:$M$159,3,FALSE),"")</f>
        <v/>
      </c>
      <c r="E245" s="13"/>
      <c r="F245" s="13"/>
      <c r="G245" s="13" t="str">
        <f>IFERROR(VLOOKUP($B245,'Cost Library'!$A$2:$M$159,5,FALSE),"")</f>
        <v/>
      </c>
      <c r="H245" s="13"/>
      <c r="I245" s="13"/>
      <c r="J245" s="13"/>
      <c r="K245" s="13"/>
      <c r="L245" s="13">
        <v>1</v>
      </c>
      <c r="M245" s="14" t="str">
        <f>IFERROR(VLOOKUP($B245,'Cost Library'!$A$2:$M$159,6,FALSE),"")</f>
        <v/>
      </c>
      <c r="N245" s="15">
        <f>IFERROR(VLOOKUP($B245,'Cost Library'!$A$2:$M$159,7,FALSE),0)</f>
        <v>0</v>
      </c>
      <c r="O245" s="15">
        <f>IFERROR(VLOOKUP($B245,'Cost Library'!$A$2:$M$159,8,FALSE),0)</f>
        <v>0</v>
      </c>
      <c r="P245" s="15">
        <f>IFERROR(VLOOKUP($B245,'Cost Library'!$A$2:$M$159,9,FALSE),0)</f>
        <v>0</v>
      </c>
      <c r="Q245" s="16"/>
      <c r="R245" s="16" t="s">
        <v>116</v>
      </c>
      <c r="S245" s="17">
        <f t="shared" si="51"/>
        <v>0</v>
      </c>
      <c r="T245" s="18">
        <f>'Project Inputs'!$C$15</f>
        <v>0.1</v>
      </c>
      <c r="U245" s="17">
        <f t="shared" si="52"/>
        <v>0</v>
      </c>
      <c r="V245" s="11" t="s">
        <v>247</v>
      </c>
      <c r="W245" s="14" t="str">
        <f>IFERROR(VLOOKUP($B245,'Cost Library'!$A$2:$M$159,10,FALSE),"")</f>
        <v/>
      </c>
      <c r="X245" s="11"/>
      <c r="Y245" s="11"/>
      <c r="Z245" s="11"/>
      <c r="AA245" s="11"/>
      <c r="AB245" s="11"/>
      <c r="AC245" s="11"/>
      <c r="AD245" s="30"/>
      <c r="AE245" s="31"/>
      <c r="AF245" s="3">
        <f t="shared" si="53"/>
        <v>0</v>
      </c>
      <c r="AG245" s="31"/>
      <c r="AH245" s="31"/>
      <c r="AI245" s="3">
        <f t="shared" si="54"/>
        <v>0</v>
      </c>
      <c r="AJ245" s="31"/>
      <c r="AK245" s="31"/>
      <c r="AL245" s="3">
        <f t="shared" si="55"/>
        <v>0</v>
      </c>
      <c r="AM245" s="3">
        <f>IF($A245&lt;&gt;"Yes",0,IF($R245="Detailed Breakdown",$AF245,$S245*IFERROR(VLOOKUP($B245,'Cost Library'!$A$2:$Q$159,14,FALSE),0.4)))</f>
        <v>0</v>
      </c>
      <c r="AN245" s="3">
        <f>IF($A245&lt;&gt;"Yes",0,IF($R245="Detailed Breakdown",$AI245,$S245*IFERROR(VLOOKUP($B245,'Cost Library'!$A$2:$Q$159,15,FALSE),0.5)))</f>
        <v>0</v>
      </c>
      <c r="AO245" s="3">
        <f>IF($A245&lt;&gt;"Yes",0,IF($R245="Detailed Breakdown",$AJ245+$AK245,$S245*IFERROR(VLOOKUP($B245,'Cost Library'!$A$2:$Q$159,16,FALSE),0.1)))</f>
        <v>0</v>
      </c>
      <c r="AP245" s="3">
        <f t="shared" si="56"/>
        <v>0</v>
      </c>
      <c r="AQ245" s="32">
        <f t="shared" si="57"/>
        <v>0</v>
      </c>
      <c r="AR245" s="32">
        <f t="shared" si="58"/>
        <v>0</v>
      </c>
      <c r="AS245" s="32">
        <f t="shared" si="59"/>
        <v>0</v>
      </c>
      <c r="AT245" s="2" t="str">
        <f t="shared" si="60"/>
        <v/>
      </c>
      <c r="AU245" s="31" t="s">
        <v>116</v>
      </c>
      <c r="AV245" s="3">
        <f t="shared" si="61"/>
        <v>0</v>
      </c>
      <c r="AW245" s="3">
        <f t="shared" si="62"/>
        <v>0</v>
      </c>
      <c r="AX245" s="3">
        <f t="shared" si="63"/>
        <v>0</v>
      </c>
      <c r="AY245" s="3">
        <f t="shared" si="64"/>
        <v>0</v>
      </c>
      <c r="AZ245" s="3">
        <f t="shared" si="65"/>
        <v>0</v>
      </c>
      <c r="BA245" s="32">
        <f t="shared" si="66"/>
        <v>0</v>
      </c>
      <c r="BB245" s="2" t="str">
        <f t="shared" si="67"/>
        <v/>
      </c>
    </row>
    <row r="246" spans="1:54" ht="14.4">
      <c r="A246" s="13" t="s">
        <v>161</v>
      </c>
      <c r="B246" s="13"/>
      <c r="C246" s="14" t="str">
        <f>IFERROR(VLOOKUP($B246,'Cost Library'!$A$2:$M$159,2,FALSE),"")</f>
        <v/>
      </c>
      <c r="D246" s="14" t="str">
        <f>IFERROR(VLOOKUP($B246,'Cost Library'!$A$2:$M$159,3,FALSE),"")</f>
        <v/>
      </c>
      <c r="E246" s="13"/>
      <c r="F246" s="13"/>
      <c r="G246" s="13" t="str">
        <f>IFERROR(VLOOKUP($B246,'Cost Library'!$A$2:$M$159,5,FALSE),"")</f>
        <v/>
      </c>
      <c r="H246" s="13"/>
      <c r="I246" s="13"/>
      <c r="J246" s="13"/>
      <c r="K246" s="13"/>
      <c r="L246" s="13">
        <v>1</v>
      </c>
      <c r="M246" s="14" t="str">
        <f>IFERROR(VLOOKUP($B246,'Cost Library'!$A$2:$M$159,6,FALSE),"")</f>
        <v/>
      </c>
      <c r="N246" s="15">
        <f>IFERROR(VLOOKUP($B246,'Cost Library'!$A$2:$M$159,7,FALSE),0)</f>
        <v>0</v>
      </c>
      <c r="O246" s="15">
        <f>IFERROR(VLOOKUP($B246,'Cost Library'!$A$2:$M$159,8,FALSE),0)</f>
        <v>0</v>
      </c>
      <c r="P246" s="15">
        <f>IFERROR(VLOOKUP($B246,'Cost Library'!$A$2:$M$159,9,FALSE),0)</f>
        <v>0</v>
      </c>
      <c r="Q246" s="16"/>
      <c r="R246" s="16" t="s">
        <v>116</v>
      </c>
      <c r="S246" s="17">
        <f t="shared" si="51"/>
        <v>0</v>
      </c>
      <c r="T246" s="18">
        <f>'Project Inputs'!$C$15</f>
        <v>0.1</v>
      </c>
      <c r="U246" s="17">
        <f t="shared" si="52"/>
        <v>0</v>
      </c>
      <c r="V246" s="11" t="s">
        <v>247</v>
      </c>
      <c r="W246" s="14" t="str">
        <f>IFERROR(VLOOKUP($B246,'Cost Library'!$A$2:$M$159,10,FALSE),"")</f>
        <v/>
      </c>
      <c r="X246" s="11"/>
      <c r="Y246" s="11"/>
      <c r="Z246" s="11"/>
      <c r="AA246" s="11"/>
      <c r="AB246" s="11"/>
      <c r="AC246" s="11"/>
      <c r="AD246" s="30"/>
      <c r="AE246" s="31"/>
      <c r="AF246" s="3">
        <f t="shared" si="53"/>
        <v>0</v>
      </c>
      <c r="AG246" s="31"/>
      <c r="AH246" s="31"/>
      <c r="AI246" s="3">
        <f t="shared" si="54"/>
        <v>0</v>
      </c>
      <c r="AJ246" s="31"/>
      <c r="AK246" s="31"/>
      <c r="AL246" s="3">
        <f t="shared" si="55"/>
        <v>0</v>
      </c>
      <c r="AM246" s="3">
        <f>IF($A246&lt;&gt;"Yes",0,IF($R246="Detailed Breakdown",$AF246,$S246*IFERROR(VLOOKUP($B246,'Cost Library'!$A$2:$Q$159,14,FALSE),0.4)))</f>
        <v>0</v>
      </c>
      <c r="AN246" s="3">
        <f>IF($A246&lt;&gt;"Yes",0,IF($R246="Detailed Breakdown",$AI246,$S246*IFERROR(VLOOKUP($B246,'Cost Library'!$A$2:$Q$159,15,FALSE),0.5)))</f>
        <v>0</v>
      </c>
      <c r="AO246" s="3">
        <f>IF($A246&lt;&gt;"Yes",0,IF($R246="Detailed Breakdown",$AJ246+$AK246,$S246*IFERROR(VLOOKUP($B246,'Cost Library'!$A$2:$Q$159,16,FALSE),0.1)))</f>
        <v>0</v>
      </c>
      <c r="AP246" s="3">
        <f t="shared" si="56"/>
        <v>0</v>
      </c>
      <c r="AQ246" s="32">
        <f t="shared" si="57"/>
        <v>0</v>
      </c>
      <c r="AR246" s="32">
        <f t="shared" si="58"/>
        <v>0</v>
      </c>
      <c r="AS246" s="32">
        <f t="shared" si="59"/>
        <v>0</v>
      </c>
      <c r="AT246" s="2" t="str">
        <f t="shared" si="60"/>
        <v/>
      </c>
      <c r="AU246" s="31" t="s">
        <v>116</v>
      </c>
      <c r="AV246" s="3">
        <f t="shared" si="61"/>
        <v>0</v>
      </c>
      <c r="AW246" s="3">
        <f t="shared" si="62"/>
        <v>0</v>
      </c>
      <c r="AX246" s="3">
        <f t="shared" si="63"/>
        <v>0</v>
      </c>
      <c r="AY246" s="3">
        <f t="shared" si="64"/>
        <v>0</v>
      </c>
      <c r="AZ246" s="3">
        <f t="shared" si="65"/>
        <v>0</v>
      </c>
      <c r="BA246" s="32">
        <f t="shared" si="66"/>
        <v>0</v>
      </c>
      <c r="BB246" s="2" t="str">
        <f t="shared" si="67"/>
        <v/>
      </c>
    </row>
    <row r="247" spans="1:54" ht="14.4">
      <c r="A247" s="13" t="s">
        <v>161</v>
      </c>
      <c r="B247" s="13"/>
      <c r="C247" s="14" t="str">
        <f>IFERROR(VLOOKUP($B247,'Cost Library'!$A$2:$M$159,2,FALSE),"")</f>
        <v/>
      </c>
      <c r="D247" s="14" t="str">
        <f>IFERROR(VLOOKUP($B247,'Cost Library'!$A$2:$M$159,3,FALSE),"")</f>
        <v/>
      </c>
      <c r="E247" s="13"/>
      <c r="F247" s="13"/>
      <c r="G247" s="13" t="str">
        <f>IFERROR(VLOOKUP($B247,'Cost Library'!$A$2:$M$159,5,FALSE),"")</f>
        <v/>
      </c>
      <c r="H247" s="13"/>
      <c r="I247" s="13"/>
      <c r="J247" s="13"/>
      <c r="K247" s="13"/>
      <c r="L247" s="13">
        <v>1</v>
      </c>
      <c r="M247" s="14" t="str">
        <f>IFERROR(VLOOKUP($B247,'Cost Library'!$A$2:$M$159,6,FALSE),"")</f>
        <v/>
      </c>
      <c r="N247" s="15">
        <f>IFERROR(VLOOKUP($B247,'Cost Library'!$A$2:$M$159,7,FALSE),0)</f>
        <v>0</v>
      </c>
      <c r="O247" s="15">
        <f>IFERROR(VLOOKUP($B247,'Cost Library'!$A$2:$M$159,8,FALSE),0)</f>
        <v>0</v>
      </c>
      <c r="P247" s="15">
        <f>IFERROR(VLOOKUP($B247,'Cost Library'!$A$2:$M$159,9,FALSE),0)</f>
        <v>0</v>
      </c>
      <c r="Q247" s="16"/>
      <c r="R247" s="16" t="s">
        <v>116</v>
      </c>
      <c r="S247" s="17">
        <f t="shared" si="51"/>
        <v>0</v>
      </c>
      <c r="T247" s="18">
        <f>'Project Inputs'!$C$15</f>
        <v>0.1</v>
      </c>
      <c r="U247" s="17">
        <f t="shared" si="52"/>
        <v>0</v>
      </c>
      <c r="V247" s="11" t="s">
        <v>247</v>
      </c>
      <c r="W247" s="14" t="str">
        <f>IFERROR(VLOOKUP($B247,'Cost Library'!$A$2:$M$159,10,FALSE),"")</f>
        <v/>
      </c>
      <c r="X247" s="11"/>
      <c r="Y247" s="11"/>
      <c r="Z247" s="11"/>
      <c r="AA247" s="11"/>
      <c r="AB247" s="11"/>
      <c r="AC247" s="11"/>
      <c r="AD247" s="30"/>
      <c r="AE247" s="31"/>
      <c r="AF247" s="3">
        <f t="shared" si="53"/>
        <v>0</v>
      </c>
      <c r="AG247" s="31"/>
      <c r="AH247" s="31"/>
      <c r="AI247" s="3">
        <f t="shared" si="54"/>
        <v>0</v>
      </c>
      <c r="AJ247" s="31"/>
      <c r="AK247" s="31"/>
      <c r="AL247" s="3">
        <f t="shared" si="55"/>
        <v>0</v>
      </c>
      <c r="AM247" s="3">
        <f>IF($A247&lt;&gt;"Yes",0,IF($R247="Detailed Breakdown",$AF247,$S247*IFERROR(VLOOKUP($B247,'Cost Library'!$A$2:$Q$159,14,FALSE),0.4)))</f>
        <v>0</v>
      </c>
      <c r="AN247" s="3">
        <f>IF($A247&lt;&gt;"Yes",0,IF($R247="Detailed Breakdown",$AI247,$S247*IFERROR(VLOOKUP($B247,'Cost Library'!$A$2:$Q$159,15,FALSE),0.5)))</f>
        <v>0</v>
      </c>
      <c r="AO247" s="3">
        <f>IF($A247&lt;&gt;"Yes",0,IF($R247="Detailed Breakdown",$AJ247+$AK247,$S247*IFERROR(VLOOKUP($B247,'Cost Library'!$A$2:$Q$159,16,FALSE),0.1)))</f>
        <v>0</v>
      </c>
      <c r="AP247" s="3">
        <f t="shared" si="56"/>
        <v>0</v>
      </c>
      <c r="AQ247" s="32">
        <f t="shared" si="57"/>
        <v>0</v>
      </c>
      <c r="AR247" s="32">
        <f t="shared" si="58"/>
        <v>0</v>
      </c>
      <c r="AS247" s="32">
        <f t="shared" si="59"/>
        <v>0</v>
      </c>
      <c r="AT247" s="2" t="str">
        <f t="shared" si="60"/>
        <v/>
      </c>
      <c r="AU247" s="31" t="s">
        <v>116</v>
      </c>
      <c r="AV247" s="3">
        <f t="shared" si="61"/>
        <v>0</v>
      </c>
      <c r="AW247" s="3">
        <f t="shared" si="62"/>
        <v>0</v>
      </c>
      <c r="AX247" s="3">
        <f t="shared" si="63"/>
        <v>0</v>
      </c>
      <c r="AY247" s="3">
        <f t="shared" si="64"/>
        <v>0</v>
      </c>
      <c r="AZ247" s="3">
        <f t="shared" si="65"/>
        <v>0</v>
      </c>
      <c r="BA247" s="32">
        <f t="shared" si="66"/>
        <v>0</v>
      </c>
      <c r="BB247" s="2" t="str">
        <f t="shared" si="67"/>
        <v/>
      </c>
    </row>
    <row r="248" spans="1:54" ht="14.4">
      <c r="A248" s="13" t="s">
        <v>161</v>
      </c>
      <c r="B248" s="13"/>
      <c r="C248" s="14" t="str">
        <f>IFERROR(VLOOKUP($B248,'Cost Library'!$A$2:$M$159,2,FALSE),"")</f>
        <v/>
      </c>
      <c r="D248" s="14" t="str">
        <f>IFERROR(VLOOKUP($B248,'Cost Library'!$A$2:$M$159,3,FALSE),"")</f>
        <v/>
      </c>
      <c r="E248" s="13"/>
      <c r="F248" s="13"/>
      <c r="G248" s="13" t="str">
        <f>IFERROR(VLOOKUP($B248,'Cost Library'!$A$2:$M$159,5,FALSE),"")</f>
        <v/>
      </c>
      <c r="H248" s="13"/>
      <c r="I248" s="13"/>
      <c r="J248" s="13"/>
      <c r="K248" s="13"/>
      <c r="L248" s="13">
        <v>1</v>
      </c>
      <c r="M248" s="14" t="str">
        <f>IFERROR(VLOOKUP($B248,'Cost Library'!$A$2:$M$159,6,FALSE),"")</f>
        <v/>
      </c>
      <c r="N248" s="15">
        <f>IFERROR(VLOOKUP($B248,'Cost Library'!$A$2:$M$159,7,FALSE),0)</f>
        <v>0</v>
      </c>
      <c r="O248" s="15">
        <f>IFERROR(VLOOKUP($B248,'Cost Library'!$A$2:$M$159,8,FALSE),0)</f>
        <v>0</v>
      </c>
      <c r="P248" s="15">
        <f>IFERROR(VLOOKUP($B248,'Cost Library'!$A$2:$M$159,9,FALSE),0)</f>
        <v>0</v>
      </c>
      <c r="Q248" s="16"/>
      <c r="R248" s="16" t="s">
        <v>116</v>
      </c>
      <c r="S248" s="17">
        <f t="shared" si="51"/>
        <v>0</v>
      </c>
      <c r="T248" s="18">
        <f>'Project Inputs'!$C$15</f>
        <v>0.1</v>
      </c>
      <c r="U248" s="17">
        <f t="shared" si="52"/>
        <v>0</v>
      </c>
      <c r="V248" s="11" t="s">
        <v>247</v>
      </c>
      <c r="W248" s="14" t="str">
        <f>IFERROR(VLOOKUP($B248,'Cost Library'!$A$2:$M$159,10,FALSE),"")</f>
        <v/>
      </c>
      <c r="X248" s="11"/>
      <c r="Y248" s="11"/>
      <c r="Z248" s="11"/>
      <c r="AA248" s="11"/>
      <c r="AB248" s="11"/>
      <c r="AC248" s="11"/>
      <c r="AD248" s="30"/>
      <c r="AE248" s="31"/>
      <c r="AF248" s="3">
        <f t="shared" si="53"/>
        <v>0</v>
      </c>
      <c r="AG248" s="31"/>
      <c r="AH248" s="31"/>
      <c r="AI248" s="3">
        <f t="shared" si="54"/>
        <v>0</v>
      </c>
      <c r="AJ248" s="31"/>
      <c r="AK248" s="31"/>
      <c r="AL248" s="3">
        <f t="shared" si="55"/>
        <v>0</v>
      </c>
      <c r="AM248" s="3">
        <f>IF($A248&lt;&gt;"Yes",0,IF($R248="Detailed Breakdown",$AF248,$S248*IFERROR(VLOOKUP($B248,'Cost Library'!$A$2:$Q$159,14,FALSE),0.4)))</f>
        <v>0</v>
      </c>
      <c r="AN248" s="3">
        <f>IF($A248&lt;&gt;"Yes",0,IF($R248="Detailed Breakdown",$AI248,$S248*IFERROR(VLOOKUP($B248,'Cost Library'!$A$2:$Q$159,15,FALSE),0.5)))</f>
        <v>0</v>
      </c>
      <c r="AO248" s="3">
        <f>IF($A248&lt;&gt;"Yes",0,IF($R248="Detailed Breakdown",$AJ248+$AK248,$S248*IFERROR(VLOOKUP($B248,'Cost Library'!$A$2:$Q$159,16,FALSE),0.1)))</f>
        <v>0</v>
      </c>
      <c r="AP248" s="3">
        <f t="shared" si="56"/>
        <v>0</v>
      </c>
      <c r="AQ248" s="32">
        <f t="shared" si="57"/>
        <v>0</v>
      </c>
      <c r="AR248" s="32">
        <f t="shared" si="58"/>
        <v>0</v>
      </c>
      <c r="AS248" s="32">
        <f t="shared" si="59"/>
        <v>0</v>
      </c>
      <c r="AT248" s="2" t="str">
        <f t="shared" si="60"/>
        <v/>
      </c>
      <c r="AU248" s="31" t="s">
        <v>116</v>
      </c>
      <c r="AV248" s="3">
        <f t="shared" si="61"/>
        <v>0</v>
      </c>
      <c r="AW248" s="3">
        <f t="shared" si="62"/>
        <v>0</v>
      </c>
      <c r="AX248" s="3">
        <f t="shared" si="63"/>
        <v>0</v>
      </c>
      <c r="AY248" s="3">
        <f t="shared" si="64"/>
        <v>0</v>
      </c>
      <c r="AZ248" s="3">
        <f t="shared" si="65"/>
        <v>0</v>
      </c>
      <c r="BA248" s="32">
        <f t="shared" si="66"/>
        <v>0</v>
      </c>
      <c r="BB248" s="2" t="str">
        <f t="shared" si="67"/>
        <v/>
      </c>
    </row>
    <row r="249" spans="1:54" ht="14.4">
      <c r="A249" s="13" t="s">
        <v>161</v>
      </c>
      <c r="B249" s="13"/>
      <c r="C249" s="14" t="str">
        <f>IFERROR(VLOOKUP($B249,'Cost Library'!$A$2:$M$159,2,FALSE),"")</f>
        <v/>
      </c>
      <c r="D249" s="14" t="str">
        <f>IFERROR(VLOOKUP($B249,'Cost Library'!$A$2:$M$159,3,FALSE),"")</f>
        <v/>
      </c>
      <c r="E249" s="13"/>
      <c r="F249" s="13"/>
      <c r="G249" s="13" t="str">
        <f>IFERROR(VLOOKUP($B249,'Cost Library'!$A$2:$M$159,5,FALSE),"")</f>
        <v/>
      </c>
      <c r="H249" s="13"/>
      <c r="I249" s="13"/>
      <c r="J249" s="13"/>
      <c r="K249" s="13"/>
      <c r="L249" s="13">
        <v>1</v>
      </c>
      <c r="M249" s="14" t="str">
        <f>IFERROR(VLOOKUP($B249,'Cost Library'!$A$2:$M$159,6,FALSE),"")</f>
        <v/>
      </c>
      <c r="N249" s="15">
        <f>IFERROR(VLOOKUP($B249,'Cost Library'!$A$2:$M$159,7,FALSE),0)</f>
        <v>0</v>
      </c>
      <c r="O249" s="15">
        <f>IFERROR(VLOOKUP($B249,'Cost Library'!$A$2:$M$159,8,FALSE),0)</f>
        <v>0</v>
      </c>
      <c r="P249" s="15">
        <f>IFERROR(VLOOKUP($B249,'Cost Library'!$A$2:$M$159,9,FALSE),0)</f>
        <v>0</v>
      </c>
      <c r="Q249" s="16"/>
      <c r="R249" s="16" t="s">
        <v>116</v>
      </c>
      <c r="S249" s="17">
        <f t="shared" si="51"/>
        <v>0</v>
      </c>
      <c r="T249" s="18">
        <f>'Project Inputs'!$C$15</f>
        <v>0.1</v>
      </c>
      <c r="U249" s="17">
        <f t="shared" si="52"/>
        <v>0</v>
      </c>
      <c r="V249" s="11" t="s">
        <v>247</v>
      </c>
      <c r="W249" s="14" t="str">
        <f>IFERROR(VLOOKUP($B249,'Cost Library'!$A$2:$M$159,10,FALSE),"")</f>
        <v/>
      </c>
      <c r="X249" s="11"/>
      <c r="Y249" s="11"/>
      <c r="Z249" s="11"/>
      <c r="AA249" s="11"/>
      <c r="AB249" s="11"/>
      <c r="AC249" s="11"/>
      <c r="AD249" s="30"/>
      <c r="AE249" s="31"/>
      <c r="AF249" s="3">
        <f t="shared" si="53"/>
        <v>0</v>
      </c>
      <c r="AG249" s="31"/>
      <c r="AH249" s="31"/>
      <c r="AI249" s="3">
        <f t="shared" si="54"/>
        <v>0</v>
      </c>
      <c r="AJ249" s="31"/>
      <c r="AK249" s="31"/>
      <c r="AL249" s="3">
        <f t="shared" si="55"/>
        <v>0</v>
      </c>
      <c r="AM249" s="3">
        <f>IF($A249&lt;&gt;"Yes",0,IF($R249="Detailed Breakdown",$AF249,$S249*IFERROR(VLOOKUP($B249,'Cost Library'!$A$2:$Q$159,14,FALSE),0.4)))</f>
        <v>0</v>
      </c>
      <c r="AN249" s="3">
        <f>IF($A249&lt;&gt;"Yes",0,IF($R249="Detailed Breakdown",$AI249,$S249*IFERROR(VLOOKUP($B249,'Cost Library'!$A$2:$Q$159,15,FALSE),0.5)))</f>
        <v>0</v>
      </c>
      <c r="AO249" s="3">
        <f>IF($A249&lt;&gt;"Yes",0,IF($R249="Detailed Breakdown",$AJ249+$AK249,$S249*IFERROR(VLOOKUP($B249,'Cost Library'!$A$2:$Q$159,16,FALSE),0.1)))</f>
        <v>0</v>
      </c>
      <c r="AP249" s="3">
        <f t="shared" si="56"/>
        <v>0</v>
      </c>
      <c r="AQ249" s="32">
        <f t="shared" si="57"/>
        <v>0</v>
      </c>
      <c r="AR249" s="32">
        <f t="shared" si="58"/>
        <v>0</v>
      </c>
      <c r="AS249" s="32">
        <f t="shared" si="59"/>
        <v>0</v>
      </c>
      <c r="AT249" s="2" t="str">
        <f t="shared" si="60"/>
        <v/>
      </c>
      <c r="AU249" s="31" t="s">
        <v>116</v>
      </c>
      <c r="AV249" s="3">
        <f t="shared" si="61"/>
        <v>0</v>
      </c>
      <c r="AW249" s="3">
        <f t="shared" si="62"/>
        <v>0</v>
      </c>
      <c r="AX249" s="3">
        <f t="shared" si="63"/>
        <v>0</v>
      </c>
      <c r="AY249" s="3">
        <f t="shared" si="64"/>
        <v>0</v>
      </c>
      <c r="AZ249" s="3">
        <f t="shared" si="65"/>
        <v>0</v>
      </c>
      <c r="BA249" s="32">
        <f t="shared" si="66"/>
        <v>0</v>
      </c>
      <c r="BB249" s="2" t="str">
        <f t="shared" si="67"/>
        <v/>
      </c>
    </row>
    <row r="250" spans="1:54" ht="14.4">
      <c r="A250" s="13" t="s">
        <v>161</v>
      </c>
      <c r="B250" s="13"/>
      <c r="C250" s="14" t="str">
        <f>IFERROR(VLOOKUP($B250,'Cost Library'!$A$2:$M$159,2,FALSE),"")</f>
        <v/>
      </c>
      <c r="D250" s="14" t="str">
        <f>IFERROR(VLOOKUP($B250,'Cost Library'!$A$2:$M$159,3,FALSE),"")</f>
        <v/>
      </c>
      <c r="E250" s="13"/>
      <c r="F250" s="13"/>
      <c r="G250" s="13" t="str">
        <f>IFERROR(VLOOKUP($B250,'Cost Library'!$A$2:$M$159,5,FALSE),"")</f>
        <v/>
      </c>
      <c r="H250" s="13"/>
      <c r="I250" s="13"/>
      <c r="J250" s="13"/>
      <c r="K250" s="13"/>
      <c r="L250" s="13">
        <v>1</v>
      </c>
      <c r="M250" s="14" t="str">
        <f>IFERROR(VLOOKUP($B250,'Cost Library'!$A$2:$M$159,6,FALSE),"")</f>
        <v/>
      </c>
      <c r="N250" s="15">
        <f>IFERROR(VLOOKUP($B250,'Cost Library'!$A$2:$M$159,7,FALSE),0)</f>
        <v>0</v>
      </c>
      <c r="O250" s="15">
        <f>IFERROR(VLOOKUP($B250,'Cost Library'!$A$2:$M$159,8,FALSE),0)</f>
        <v>0</v>
      </c>
      <c r="P250" s="15">
        <f>IFERROR(VLOOKUP($B250,'Cost Library'!$A$2:$M$159,9,FALSE),0)</f>
        <v>0</v>
      </c>
      <c r="Q250" s="16"/>
      <c r="R250" s="16" t="s">
        <v>116</v>
      </c>
      <c r="S250" s="17">
        <f t="shared" si="51"/>
        <v>0</v>
      </c>
      <c r="T250" s="18">
        <f>'Project Inputs'!$C$15</f>
        <v>0.1</v>
      </c>
      <c r="U250" s="17">
        <f t="shared" si="52"/>
        <v>0</v>
      </c>
      <c r="V250" s="11" t="s">
        <v>247</v>
      </c>
      <c r="W250" s="14" t="str">
        <f>IFERROR(VLOOKUP($B250,'Cost Library'!$A$2:$M$159,10,FALSE),"")</f>
        <v/>
      </c>
      <c r="X250" s="11"/>
      <c r="Y250" s="11"/>
      <c r="Z250" s="11"/>
      <c r="AA250" s="11"/>
      <c r="AB250" s="11"/>
      <c r="AC250" s="11"/>
      <c r="AD250" s="30"/>
      <c r="AE250" s="31"/>
      <c r="AF250" s="3">
        <f t="shared" si="53"/>
        <v>0</v>
      </c>
      <c r="AG250" s="31"/>
      <c r="AH250" s="31"/>
      <c r="AI250" s="3">
        <f t="shared" si="54"/>
        <v>0</v>
      </c>
      <c r="AJ250" s="31"/>
      <c r="AK250" s="31"/>
      <c r="AL250" s="3">
        <f t="shared" si="55"/>
        <v>0</v>
      </c>
      <c r="AM250" s="3">
        <f>IF($A250&lt;&gt;"Yes",0,IF($R250="Detailed Breakdown",$AF250,$S250*IFERROR(VLOOKUP($B250,'Cost Library'!$A$2:$Q$159,14,FALSE),0.4)))</f>
        <v>0</v>
      </c>
      <c r="AN250" s="3">
        <f>IF($A250&lt;&gt;"Yes",0,IF($R250="Detailed Breakdown",$AI250,$S250*IFERROR(VLOOKUP($B250,'Cost Library'!$A$2:$Q$159,15,FALSE),0.5)))</f>
        <v>0</v>
      </c>
      <c r="AO250" s="3">
        <f>IF($A250&lt;&gt;"Yes",0,IF($R250="Detailed Breakdown",$AJ250+$AK250,$S250*IFERROR(VLOOKUP($B250,'Cost Library'!$A$2:$Q$159,16,FALSE),0.1)))</f>
        <v>0</v>
      </c>
      <c r="AP250" s="3">
        <f t="shared" si="56"/>
        <v>0</v>
      </c>
      <c r="AQ250" s="32">
        <f t="shared" si="57"/>
        <v>0</v>
      </c>
      <c r="AR250" s="32">
        <f t="shared" si="58"/>
        <v>0</v>
      </c>
      <c r="AS250" s="32">
        <f t="shared" si="59"/>
        <v>0</v>
      </c>
      <c r="AT250" s="2" t="str">
        <f t="shared" si="60"/>
        <v/>
      </c>
      <c r="AU250" s="31" t="s">
        <v>116</v>
      </c>
      <c r="AV250" s="3">
        <f t="shared" si="61"/>
        <v>0</v>
      </c>
      <c r="AW250" s="3">
        <f t="shared" si="62"/>
        <v>0</v>
      </c>
      <c r="AX250" s="3">
        <f t="shared" si="63"/>
        <v>0</v>
      </c>
      <c r="AY250" s="3">
        <f t="shared" si="64"/>
        <v>0</v>
      </c>
      <c r="AZ250" s="3">
        <f t="shared" si="65"/>
        <v>0</v>
      </c>
      <c r="BA250" s="32">
        <f t="shared" si="66"/>
        <v>0</v>
      </c>
      <c r="BB250" s="2" t="str">
        <f t="shared" si="67"/>
        <v/>
      </c>
    </row>
    <row r="251" spans="1:54" ht="14.4">
      <c r="A251" s="13" t="s">
        <v>161</v>
      </c>
      <c r="B251" s="13"/>
      <c r="C251" s="14" t="str">
        <f>IFERROR(VLOOKUP($B251,'Cost Library'!$A$2:$M$159,2,FALSE),"")</f>
        <v/>
      </c>
      <c r="D251" s="14" t="str">
        <f>IFERROR(VLOOKUP($B251,'Cost Library'!$A$2:$M$159,3,FALSE),"")</f>
        <v/>
      </c>
      <c r="E251" s="13"/>
      <c r="F251" s="13"/>
      <c r="G251" s="13" t="str">
        <f>IFERROR(VLOOKUP($B251,'Cost Library'!$A$2:$M$159,5,FALSE),"")</f>
        <v/>
      </c>
      <c r="H251" s="13"/>
      <c r="I251" s="13"/>
      <c r="J251" s="13"/>
      <c r="K251" s="13"/>
      <c r="L251" s="13">
        <v>1</v>
      </c>
      <c r="M251" s="14" t="str">
        <f>IFERROR(VLOOKUP($B251,'Cost Library'!$A$2:$M$159,6,FALSE),"")</f>
        <v/>
      </c>
      <c r="N251" s="15">
        <f>IFERROR(VLOOKUP($B251,'Cost Library'!$A$2:$M$159,7,FALSE),0)</f>
        <v>0</v>
      </c>
      <c r="O251" s="15">
        <f>IFERROR(VLOOKUP($B251,'Cost Library'!$A$2:$M$159,8,FALSE),0)</f>
        <v>0</v>
      </c>
      <c r="P251" s="15">
        <f>IFERROR(VLOOKUP($B251,'Cost Library'!$A$2:$M$159,9,FALSE),0)</f>
        <v>0</v>
      </c>
      <c r="Q251" s="16"/>
      <c r="R251" s="16" t="s">
        <v>116</v>
      </c>
      <c r="S251" s="17">
        <f t="shared" si="51"/>
        <v>0</v>
      </c>
      <c r="T251" s="18">
        <f>'Project Inputs'!$C$15</f>
        <v>0.1</v>
      </c>
      <c r="U251" s="17">
        <f t="shared" si="52"/>
        <v>0</v>
      </c>
      <c r="V251" s="11" t="s">
        <v>247</v>
      </c>
      <c r="W251" s="14" t="str">
        <f>IFERROR(VLOOKUP($B251,'Cost Library'!$A$2:$M$159,10,FALSE),"")</f>
        <v/>
      </c>
      <c r="X251" s="11"/>
      <c r="Y251" s="11"/>
      <c r="Z251" s="11"/>
      <c r="AA251" s="11"/>
      <c r="AB251" s="11"/>
      <c r="AC251" s="11"/>
      <c r="AD251" s="30"/>
      <c r="AE251" s="31"/>
      <c r="AF251" s="3">
        <f t="shared" si="53"/>
        <v>0</v>
      </c>
      <c r="AG251" s="31"/>
      <c r="AH251" s="31"/>
      <c r="AI251" s="3">
        <f t="shared" si="54"/>
        <v>0</v>
      </c>
      <c r="AJ251" s="31"/>
      <c r="AK251" s="31"/>
      <c r="AL251" s="3">
        <f t="shared" si="55"/>
        <v>0</v>
      </c>
      <c r="AM251" s="3">
        <f>IF($A251&lt;&gt;"Yes",0,IF($R251="Detailed Breakdown",$AF251,$S251*IFERROR(VLOOKUP($B251,'Cost Library'!$A$2:$Q$159,14,FALSE),0.4)))</f>
        <v>0</v>
      </c>
      <c r="AN251" s="3">
        <f>IF($A251&lt;&gt;"Yes",0,IF($R251="Detailed Breakdown",$AI251,$S251*IFERROR(VLOOKUP($B251,'Cost Library'!$A$2:$Q$159,15,FALSE),0.5)))</f>
        <v>0</v>
      </c>
      <c r="AO251" s="3">
        <f>IF($A251&lt;&gt;"Yes",0,IF($R251="Detailed Breakdown",$AJ251+$AK251,$S251*IFERROR(VLOOKUP($B251,'Cost Library'!$A$2:$Q$159,16,FALSE),0.1)))</f>
        <v>0</v>
      </c>
      <c r="AP251" s="3">
        <f t="shared" si="56"/>
        <v>0</v>
      </c>
      <c r="AQ251" s="32">
        <f t="shared" si="57"/>
        <v>0</v>
      </c>
      <c r="AR251" s="32">
        <f t="shared" si="58"/>
        <v>0</v>
      </c>
      <c r="AS251" s="32">
        <f t="shared" si="59"/>
        <v>0</v>
      </c>
      <c r="AT251" s="2" t="str">
        <f t="shared" si="60"/>
        <v/>
      </c>
      <c r="AU251" s="31" t="s">
        <v>116</v>
      </c>
      <c r="AV251" s="3">
        <f t="shared" si="61"/>
        <v>0</v>
      </c>
      <c r="AW251" s="3">
        <f t="shared" si="62"/>
        <v>0</v>
      </c>
      <c r="AX251" s="3">
        <f t="shared" si="63"/>
        <v>0</v>
      </c>
      <c r="AY251" s="3">
        <f t="shared" si="64"/>
        <v>0</v>
      </c>
      <c r="AZ251" s="3">
        <f t="shared" si="65"/>
        <v>0</v>
      </c>
      <c r="BA251" s="32">
        <f t="shared" si="66"/>
        <v>0</v>
      </c>
      <c r="BB251" s="2" t="str">
        <f t="shared" si="67"/>
        <v/>
      </c>
    </row>
    <row r="252" spans="1:54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54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54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54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54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conditionalFormatting sqref="I2:I251">
    <cfRule type="expression" dxfId="19" priority="2">
      <formula>I2="Critical"</formula>
    </cfRule>
  </conditionalFormatting>
  <conditionalFormatting sqref="K2:K251">
    <cfRule type="expression" dxfId="18" priority="3">
      <formula>LEFT(K2,2)="P0"</formula>
    </cfRule>
  </conditionalFormatting>
  <conditionalFormatting sqref="U2:U251">
    <cfRule type="dataBar" priority="1">
      <dataBar>
        <cfvo type="min"/>
        <cfvo type="max"/>
        <color rgb="FF5B9BD5"/>
      </dataBar>
    </cfRule>
  </conditionalFormatting>
  <conditionalFormatting sqref="V2:V251">
    <cfRule type="expression" dxfId="17" priority="4">
      <formula>V2="Complete"</formula>
    </cfRule>
  </conditionalFormatting>
  <conditionalFormatting sqref="BA2:BA251">
    <cfRule type="expression" dxfId="16" priority="5">
      <formula>BA2&gt;0.15</formula>
    </cfRule>
  </conditionalFormatting>
  <dataValidations count="1">
    <dataValidation sqref="Z2:Z251" xr:uid="{00000000-0002-0000-0200-000008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200-000000000000}">
          <x14:formula1>
            <xm:f>Lists!$B$2:$B$3</xm:f>
          </x14:formula1>
          <xm:sqref>A2:A251</xm:sqref>
        </x14:dataValidation>
        <x14:dataValidation type="list" xr:uid="{00000000-0002-0000-0200-000001000000}">
          <x14:formula1>
            <xm:f>Lists!$A$2:$A$159</xm:f>
          </x14:formula1>
          <xm:sqref>B2:B251</xm:sqref>
        </x14:dataValidation>
        <x14:dataValidation type="list" xr:uid="{00000000-0002-0000-0200-000002000000}">
          <x14:formula1>
            <xm:f>Lists!$C$2:$C$8</xm:f>
          </x14:formula1>
          <xm:sqref>H2:H251</xm:sqref>
        </x14:dataValidation>
        <x14:dataValidation type="list" xr:uid="{00000000-0002-0000-0200-000003000000}">
          <x14:formula1>
            <xm:f>Lists!$D$2:$D$5</xm:f>
          </x14:formula1>
          <xm:sqref>I2:I251</xm:sqref>
        </x14:dataValidation>
        <x14:dataValidation type="list" xr:uid="{00000000-0002-0000-0200-000004000000}">
          <x14:formula1>
            <xm:f>Lists!$H$2:$H$4</xm:f>
          </x14:formula1>
          <xm:sqref>J2:J251</xm:sqref>
        </x14:dataValidation>
        <x14:dataValidation type="list" xr:uid="{00000000-0002-0000-0200-000005000000}">
          <x14:formula1>
            <xm:f>Lists!$E$2:$E$6</xm:f>
          </x14:formula1>
          <xm:sqref>K2:K251</xm:sqref>
        </x14:dataValidation>
        <x14:dataValidation type="list" xr:uid="{00000000-0002-0000-0200-000006000000}">
          <x14:formula1>
            <xm:f>Lists!$F$2:$F$6</xm:f>
          </x14:formula1>
          <xm:sqref>R2:R251</xm:sqref>
        </x14:dataValidation>
        <x14:dataValidation type="list" xr:uid="{00000000-0002-0000-0200-000007000000}">
          <x14:formula1>
            <xm:f>Lists!$G$2:$G$8</xm:f>
          </x14:formula1>
          <xm:sqref>V2:V251</xm:sqref>
        </x14:dataValidation>
        <x14:dataValidation type="list" xr:uid="{00000000-0002-0000-0200-000009000000}">
          <x14:formula1>
            <xm:f>Lists!$F$2:$F$4</xm:f>
          </x14:formula1>
          <xm:sqref>AU2:AU251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0"/>
  <sheetViews>
    <sheetView workbookViewId="0"/>
  </sheetViews>
  <sheetFormatPr defaultRowHeight="13.8"/>
  <cols>
    <col min="1" max="1" width="12" customWidth="1"/>
    <col min="2" max="2" width="24" customWidth="1"/>
    <col min="3" max="3" width="18" customWidth="1"/>
    <col min="4" max="4" width="44" customWidth="1"/>
    <col min="5" max="5" width="14" customWidth="1"/>
    <col min="6" max="6" width="11" customWidth="1"/>
    <col min="7" max="7" width="14" customWidth="1"/>
    <col min="8" max="8" width="16" customWidth="1"/>
    <col min="9" max="9" width="14" customWidth="1"/>
    <col min="10" max="11" width="12" customWidth="1"/>
    <col min="12" max="12" width="40" customWidth="1"/>
    <col min="13" max="13" width="50" customWidth="1"/>
    <col min="14" max="16" width="15" customWidth="1"/>
    <col min="17" max="17" width="38" customWidth="1"/>
  </cols>
  <sheetData>
    <row r="1" spans="1:29" ht="14.4">
      <c r="A1" s="12" t="s">
        <v>105</v>
      </c>
      <c r="B1" s="12" t="s">
        <v>20</v>
      </c>
      <c r="C1" s="12" t="s">
        <v>106</v>
      </c>
      <c r="D1" s="12" t="s">
        <v>248</v>
      </c>
      <c r="E1" s="12" t="s">
        <v>109</v>
      </c>
      <c r="F1" s="12" t="s">
        <v>114</v>
      </c>
      <c r="G1" s="12" t="s">
        <v>249</v>
      </c>
      <c r="H1" s="12" t="s">
        <v>250</v>
      </c>
      <c r="I1" s="12" t="s">
        <v>251</v>
      </c>
      <c r="J1" s="12" t="s">
        <v>124</v>
      </c>
      <c r="K1" s="12" t="s">
        <v>252</v>
      </c>
      <c r="L1" s="12" t="s">
        <v>253</v>
      </c>
      <c r="M1" s="12" t="s">
        <v>254</v>
      </c>
      <c r="N1" s="28" t="s">
        <v>255</v>
      </c>
      <c r="O1" s="28" t="s">
        <v>256</v>
      </c>
      <c r="P1" s="28" t="s">
        <v>257</v>
      </c>
      <c r="Q1" s="28" t="s">
        <v>258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7.6">
      <c r="A2" s="11" t="s">
        <v>172</v>
      </c>
      <c r="B2" s="11" t="s">
        <v>42</v>
      </c>
      <c r="C2" s="11" t="s">
        <v>259</v>
      </c>
      <c r="D2" s="11" t="s">
        <v>260</v>
      </c>
      <c r="E2" s="11" t="s">
        <v>261</v>
      </c>
      <c r="F2" s="11" t="s">
        <v>262</v>
      </c>
      <c r="G2" s="19">
        <v>400</v>
      </c>
      <c r="H2" s="19">
        <v>750</v>
      </c>
      <c r="I2" s="19">
        <v>1200</v>
      </c>
      <c r="J2" s="11" t="s">
        <v>161</v>
      </c>
      <c r="K2" s="11" t="s">
        <v>175</v>
      </c>
      <c r="L2" s="11" t="s">
        <v>263</v>
      </c>
      <c r="M2" s="11" t="s">
        <v>264</v>
      </c>
      <c r="N2" s="26">
        <v>0</v>
      </c>
      <c r="O2" s="26">
        <v>0</v>
      </c>
      <c r="P2" s="26">
        <v>1</v>
      </c>
      <c r="Q2" s="4" t="s">
        <v>265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27.6">
      <c r="A3" s="11" t="s">
        <v>266</v>
      </c>
      <c r="B3" s="11" t="s">
        <v>42</v>
      </c>
      <c r="C3" s="11" t="s">
        <v>267</v>
      </c>
      <c r="D3" s="11" t="s">
        <v>268</v>
      </c>
      <c r="E3" s="11" t="s">
        <v>269</v>
      </c>
      <c r="F3" s="11" t="s">
        <v>270</v>
      </c>
      <c r="G3" s="19">
        <v>300</v>
      </c>
      <c r="H3" s="19">
        <v>550</v>
      </c>
      <c r="I3" s="19">
        <v>900</v>
      </c>
      <c r="J3" s="11" t="s">
        <v>271</v>
      </c>
      <c r="K3" s="11" t="s">
        <v>117</v>
      </c>
      <c r="L3" s="11" t="s">
        <v>263</v>
      </c>
      <c r="M3" s="11" t="s">
        <v>264</v>
      </c>
      <c r="N3" s="26">
        <v>0.35</v>
      </c>
      <c r="O3" s="26">
        <v>0.5</v>
      </c>
      <c r="P3" s="26">
        <v>0.15</v>
      </c>
      <c r="Q3" s="4" t="s">
        <v>272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27.6">
      <c r="A4" s="11" t="s">
        <v>273</v>
      </c>
      <c r="B4" s="11" t="s">
        <v>42</v>
      </c>
      <c r="C4" s="11" t="s">
        <v>267</v>
      </c>
      <c r="D4" s="11" t="s">
        <v>274</v>
      </c>
      <c r="E4" s="11" t="s">
        <v>269</v>
      </c>
      <c r="F4" s="11" t="s">
        <v>262</v>
      </c>
      <c r="G4" s="19">
        <v>2500</v>
      </c>
      <c r="H4" s="19">
        <v>7000</v>
      </c>
      <c r="I4" s="19">
        <v>15000</v>
      </c>
      <c r="J4" s="11" t="s">
        <v>155</v>
      </c>
      <c r="K4" s="11" t="s">
        <v>175</v>
      </c>
      <c r="L4" s="11" t="s">
        <v>263</v>
      </c>
      <c r="M4" s="11" t="s">
        <v>264</v>
      </c>
      <c r="N4" s="26">
        <v>0.35</v>
      </c>
      <c r="O4" s="26">
        <v>0.5</v>
      </c>
      <c r="P4" s="26">
        <v>0.15</v>
      </c>
      <c r="Q4" s="4" t="s">
        <v>272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7.6">
      <c r="A5" s="11" t="s">
        <v>275</v>
      </c>
      <c r="B5" s="11" t="s">
        <v>42</v>
      </c>
      <c r="C5" s="11" t="s">
        <v>267</v>
      </c>
      <c r="D5" s="11" t="s">
        <v>276</v>
      </c>
      <c r="E5" s="11" t="s">
        <v>269</v>
      </c>
      <c r="F5" s="11" t="s">
        <v>270</v>
      </c>
      <c r="G5" s="19">
        <v>1000</v>
      </c>
      <c r="H5" s="19">
        <v>1800</v>
      </c>
      <c r="I5" s="19">
        <v>3000</v>
      </c>
      <c r="J5" s="11" t="s">
        <v>155</v>
      </c>
      <c r="K5" s="11" t="s">
        <v>175</v>
      </c>
      <c r="L5" s="11" t="s">
        <v>263</v>
      </c>
      <c r="M5" s="11" t="s">
        <v>264</v>
      </c>
      <c r="N5" s="26">
        <v>0.35</v>
      </c>
      <c r="O5" s="26">
        <v>0.5</v>
      </c>
      <c r="P5" s="26">
        <v>0.15</v>
      </c>
      <c r="Q5" s="4" t="s">
        <v>272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7.6">
      <c r="A6" s="11" t="s">
        <v>277</v>
      </c>
      <c r="B6" s="11" t="s">
        <v>42</v>
      </c>
      <c r="C6" s="11" t="s">
        <v>278</v>
      </c>
      <c r="D6" s="11" t="s">
        <v>279</v>
      </c>
      <c r="E6" s="11" t="s">
        <v>269</v>
      </c>
      <c r="F6" s="11" t="s">
        <v>270</v>
      </c>
      <c r="G6" s="19">
        <v>300</v>
      </c>
      <c r="H6" s="19">
        <v>800</v>
      </c>
      <c r="I6" s="19">
        <v>2000</v>
      </c>
      <c r="J6" s="11" t="s">
        <v>271</v>
      </c>
      <c r="K6" s="11" t="s">
        <v>117</v>
      </c>
      <c r="L6" s="11" t="s">
        <v>280</v>
      </c>
      <c r="M6" s="11" t="s">
        <v>281</v>
      </c>
      <c r="N6" s="26">
        <v>0.45</v>
      </c>
      <c r="O6" s="26">
        <v>0.45</v>
      </c>
      <c r="P6" s="26">
        <v>0.1</v>
      </c>
      <c r="Q6" s="4" t="s">
        <v>282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7.6">
      <c r="A7" s="11" t="s">
        <v>283</v>
      </c>
      <c r="B7" s="11" t="s">
        <v>42</v>
      </c>
      <c r="C7" s="11" t="s">
        <v>278</v>
      </c>
      <c r="D7" s="11" t="s">
        <v>284</v>
      </c>
      <c r="E7" s="11" t="s">
        <v>269</v>
      </c>
      <c r="F7" s="11" t="s">
        <v>285</v>
      </c>
      <c r="G7" s="19">
        <v>15</v>
      </c>
      <c r="H7" s="19">
        <v>35</v>
      </c>
      <c r="I7" s="19">
        <v>75</v>
      </c>
      <c r="J7" s="11" t="s">
        <v>271</v>
      </c>
      <c r="K7" s="11" t="s">
        <v>117</v>
      </c>
      <c r="L7" s="11" t="s">
        <v>280</v>
      </c>
      <c r="M7" s="11" t="s">
        <v>281</v>
      </c>
      <c r="N7" s="26">
        <v>0.45</v>
      </c>
      <c r="O7" s="26">
        <v>0.45</v>
      </c>
      <c r="P7" s="26">
        <v>0.1</v>
      </c>
      <c r="Q7" s="4" t="s">
        <v>282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7.6">
      <c r="A8" s="11" t="s">
        <v>286</v>
      </c>
      <c r="B8" s="11" t="s">
        <v>42</v>
      </c>
      <c r="C8" s="11" t="s">
        <v>278</v>
      </c>
      <c r="D8" s="11" t="s">
        <v>287</v>
      </c>
      <c r="E8" s="11" t="s">
        <v>288</v>
      </c>
      <c r="F8" s="11" t="s">
        <v>270</v>
      </c>
      <c r="G8" s="19">
        <v>1500</v>
      </c>
      <c r="H8" s="19">
        <v>4000</v>
      </c>
      <c r="I8" s="19">
        <v>9000</v>
      </c>
      <c r="J8" s="11" t="s">
        <v>155</v>
      </c>
      <c r="K8" s="11" t="s">
        <v>175</v>
      </c>
      <c r="L8" s="11" t="s">
        <v>280</v>
      </c>
      <c r="M8" s="11" t="s">
        <v>281</v>
      </c>
      <c r="N8" s="26">
        <v>0.45</v>
      </c>
      <c r="O8" s="26">
        <v>0.45</v>
      </c>
      <c r="P8" s="26">
        <v>0.1</v>
      </c>
      <c r="Q8" s="4" t="s">
        <v>282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7.6">
      <c r="A9" s="11" t="s">
        <v>289</v>
      </c>
      <c r="B9" s="11" t="s">
        <v>42</v>
      </c>
      <c r="C9" s="11" t="s">
        <v>290</v>
      </c>
      <c r="D9" s="11" t="s">
        <v>291</v>
      </c>
      <c r="E9" s="11" t="s">
        <v>269</v>
      </c>
      <c r="F9" s="11" t="s">
        <v>262</v>
      </c>
      <c r="G9" s="19">
        <v>2500</v>
      </c>
      <c r="H9" s="19">
        <v>6500</v>
      </c>
      <c r="I9" s="19">
        <v>14000</v>
      </c>
      <c r="J9" s="11" t="s">
        <v>155</v>
      </c>
      <c r="K9" s="11" t="s">
        <v>175</v>
      </c>
      <c r="L9" s="11" t="s">
        <v>263</v>
      </c>
      <c r="M9" s="11" t="s">
        <v>264</v>
      </c>
      <c r="N9" s="26">
        <v>0.35</v>
      </c>
      <c r="O9" s="26">
        <v>0.5</v>
      </c>
      <c r="P9" s="26">
        <v>0.15</v>
      </c>
      <c r="Q9" s="4" t="s">
        <v>272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7.6">
      <c r="A10" s="11" t="s">
        <v>292</v>
      </c>
      <c r="B10" s="11" t="s">
        <v>42</v>
      </c>
      <c r="C10" s="11" t="s">
        <v>293</v>
      </c>
      <c r="D10" s="11" t="s">
        <v>294</v>
      </c>
      <c r="E10" s="11" t="s">
        <v>269</v>
      </c>
      <c r="F10" s="11" t="s">
        <v>262</v>
      </c>
      <c r="G10" s="19">
        <v>3000</v>
      </c>
      <c r="H10" s="19">
        <v>7000</v>
      </c>
      <c r="I10" s="19">
        <v>15000</v>
      </c>
      <c r="J10" s="11" t="s">
        <v>271</v>
      </c>
      <c r="K10" s="11" t="s">
        <v>117</v>
      </c>
      <c r="L10" s="11" t="s">
        <v>263</v>
      </c>
      <c r="M10" s="11" t="s">
        <v>264</v>
      </c>
      <c r="N10" s="26">
        <v>0.45</v>
      </c>
      <c r="O10" s="26">
        <v>0.45</v>
      </c>
      <c r="P10" s="26">
        <v>0.1</v>
      </c>
      <c r="Q10" s="4" t="s">
        <v>295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7.6">
      <c r="A11" s="11" t="s">
        <v>296</v>
      </c>
      <c r="B11" s="11" t="s">
        <v>42</v>
      </c>
      <c r="C11" s="11" t="s">
        <v>293</v>
      </c>
      <c r="D11" s="11" t="s">
        <v>297</v>
      </c>
      <c r="E11" s="11" t="s">
        <v>269</v>
      </c>
      <c r="F11" s="11" t="s">
        <v>298</v>
      </c>
      <c r="G11" s="19">
        <v>2</v>
      </c>
      <c r="H11" s="19">
        <v>4</v>
      </c>
      <c r="I11" s="19">
        <v>7</v>
      </c>
      <c r="J11" s="11" t="s">
        <v>271</v>
      </c>
      <c r="K11" s="11" t="s">
        <v>160</v>
      </c>
      <c r="L11" s="11" t="s">
        <v>263</v>
      </c>
      <c r="M11" s="11" t="s">
        <v>264</v>
      </c>
      <c r="N11" s="26">
        <v>0.45</v>
      </c>
      <c r="O11" s="26">
        <v>0.45</v>
      </c>
      <c r="P11" s="26">
        <v>0.1</v>
      </c>
      <c r="Q11" s="4" t="s">
        <v>295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7.6">
      <c r="A12" s="11" t="s">
        <v>299</v>
      </c>
      <c r="B12" s="11" t="s">
        <v>42</v>
      </c>
      <c r="C12" s="11" t="s">
        <v>293</v>
      </c>
      <c r="D12" s="11" t="s">
        <v>300</v>
      </c>
      <c r="E12" s="11" t="s">
        <v>288</v>
      </c>
      <c r="F12" s="11" t="s">
        <v>270</v>
      </c>
      <c r="G12" s="19">
        <v>800</v>
      </c>
      <c r="H12" s="19">
        <v>1400</v>
      </c>
      <c r="I12" s="19">
        <v>2500</v>
      </c>
      <c r="J12" s="11" t="s">
        <v>271</v>
      </c>
      <c r="K12" s="11" t="s">
        <v>117</v>
      </c>
      <c r="L12" s="11" t="s">
        <v>263</v>
      </c>
      <c r="M12" s="11" t="s">
        <v>264</v>
      </c>
      <c r="N12" s="26">
        <v>0.45</v>
      </c>
      <c r="O12" s="26">
        <v>0.45</v>
      </c>
      <c r="P12" s="26">
        <v>0.1</v>
      </c>
      <c r="Q12" s="4" t="s">
        <v>295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7.6">
      <c r="A13" s="11" t="s">
        <v>179</v>
      </c>
      <c r="B13" s="11" t="s">
        <v>40</v>
      </c>
      <c r="C13" s="11" t="s">
        <v>301</v>
      </c>
      <c r="D13" s="11" t="s">
        <v>302</v>
      </c>
      <c r="E13" s="11" t="s">
        <v>288</v>
      </c>
      <c r="F13" s="11" t="s">
        <v>262</v>
      </c>
      <c r="G13" s="19">
        <v>5433</v>
      </c>
      <c r="H13" s="19">
        <v>8155</v>
      </c>
      <c r="I13" s="19">
        <v>11032</v>
      </c>
      <c r="J13" s="11" t="s">
        <v>155</v>
      </c>
      <c r="K13" s="11" t="s">
        <v>175</v>
      </c>
      <c r="L13" s="11" t="s">
        <v>303</v>
      </c>
      <c r="M13" s="11" t="s">
        <v>304</v>
      </c>
      <c r="N13" s="26">
        <v>0.45</v>
      </c>
      <c r="O13" s="26">
        <v>0.45</v>
      </c>
      <c r="P13" s="26">
        <v>0.1</v>
      </c>
      <c r="Q13" s="4" t="s">
        <v>295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7.6">
      <c r="A14" s="11" t="s">
        <v>305</v>
      </c>
      <c r="B14" s="11" t="s">
        <v>40</v>
      </c>
      <c r="C14" s="11" t="s">
        <v>301</v>
      </c>
      <c r="D14" s="11" t="s">
        <v>306</v>
      </c>
      <c r="E14" s="11" t="s">
        <v>269</v>
      </c>
      <c r="F14" s="11" t="s">
        <v>262</v>
      </c>
      <c r="G14" s="19">
        <v>300</v>
      </c>
      <c r="H14" s="19">
        <v>1000</v>
      </c>
      <c r="I14" s="19">
        <v>3000</v>
      </c>
      <c r="J14" s="11" t="s">
        <v>271</v>
      </c>
      <c r="K14" s="11" t="s">
        <v>117</v>
      </c>
      <c r="L14" s="11" t="s">
        <v>307</v>
      </c>
      <c r="M14" s="11" t="s">
        <v>304</v>
      </c>
      <c r="N14" s="26">
        <v>0.45</v>
      </c>
      <c r="O14" s="26">
        <v>0.45</v>
      </c>
      <c r="P14" s="26">
        <v>0.1</v>
      </c>
      <c r="Q14" s="4" t="s">
        <v>295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7.6">
      <c r="A15" s="11" t="s">
        <v>308</v>
      </c>
      <c r="B15" s="11" t="s">
        <v>40</v>
      </c>
      <c r="C15" s="11" t="s">
        <v>301</v>
      </c>
      <c r="D15" s="11" t="s">
        <v>309</v>
      </c>
      <c r="E15" s="11" t="s">
        <v>288</v>
      </c>
      <c r="F15" s="11" t="s">
        <v>298</v>
      </c>
      <c r="G15" s="19">
        <v>3</v>
      </c>
      <c r="H15" s="19">
        <v>6</v>
      </c>
      <c r="I15" s="19">
        <v>10</v>
      </c>
      <c r="J15" s="11" t="s">
        <v>271</v>
      </c>
      <c r="K15" s="11" t="s">
        <v>117</v>
      </c>
      <c r="L15" s="11" t="s">
        <v>307</v>
      </c>
      <c r="M15" s="11" t="s">
        <v>304</v>
      </c>
      <c r="N15" s="26">
        <v>0.45</v>
      </c>
      <c r="O15" s="26">
        <v>0.45</v>
      </c>
      <c r="P15" s="26">
        <v>0.1</v>
      </c>
      <c r="Q15" s="4" t="s">
        <v>295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7.6">
      <c r="A16" s="11" t="s">
        <v>310</v>
      </c>
      <c r="B16" s="11" t="s">
        <v>40</v>
      </c>
      <c r="C16" s="11" t="s">
        <v>301</v>
      </c>
      <c r="D16" s="11" t="s">
        <v>311</v>
      </c>
      <c r="E16" s="11" t="s">
        <v>269</v>
      </c>
      <c r="F16" s="11" t="s">
        <v>262</v>
      </c>
      <c r="G16" s="19">
        <v>300</v>
      </c>
      <c r="H16" s="19">
        <v>800</v>
      </c>
      <c r="I16" s="19">
        <v>1800</v>
      </c>
      <c r="J16" s="11" t="s">
        <v>271</v>
      </c>
      <c r="K16" s="11" t="s">
        <v>117</v>
      </c>
      <c r="L16" s="11" t="s">
        <v>307</v>
      </c>
      <c r="M16" s="11" t="s">
        <v>304</v>
      </c>
      <c r="N16" s="26">
        <v>0.45</v>
      </c>
      <c r="O16" s="26">
        <v>0.45</v>
      </c>
      <c r="P16" s="26">
        <v>0.1</v>
      </c>
      <c r="Q16" s="4" t="s">
        <v>295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7.6">
      <c r="A17" s="11" t="s">
        <v>312</v>
      </c>
      <c r="B17" s="11" t="s">
        <v>40</v>
      </c>
      <c r="C17" s="11" t="s">
        <v>313</v>
      </c>
      <c r="D17" s="11" t="s">
        <v>314</v>
      </c>
      <c r="E17" s="11" t="s">
        <v>269</v>
      </c>
      <c r="F17" s="11" t="s">
        <v>262</v>
      </c>
      <c r="G17" s="19">
        <v>500</v>
      </c>
      <c r="H17" s="19">
        <v>1000</v>
      </c>
      <c r="I17" s="19">
        <v>2200</v>
      </c>
      <c r="J17" s="11" t="s">
        <v>271</v>
      </c>
      <c r="K17" s="11" t="s">
        <v>117</v>
      </c>
      <c r="L17" s="11" t="s">
        <v>307</v>
      </c>
      <c r="M17" s="11" t="s">
        <v>304</v>
      </c>
      <c r="N17" s="26">
        <v>0.45</v>
      </c>
      <c r="O17" s="26">
        <v>0.45</v>
      </c>
      <c r="P17" s="26">
        <v>0.1</v>
      </c>
      <c r="Q17" s="4" t="s">
        <v>295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7.6">
      <c r="A18" s="11" t="s">
        <v>315</v>
      </c>
      <c r="B18" s="11" t="s">
        <v>40</v>
      </c>
      <c r="C18" s="11" t="s">
        <v>316</v>
      </c>
      <c r="D18" s="11" t="s">
        <v>317</v>
      </c>
      <c r="E18" s="11" t="s">
        <v>288</v>
      </c>
      <c r="F18" s="11" t="s">
        <v>285</v>
      </c>
      <c r="G18" s="19">
        <v>6</v>
      </c>
      <c r="H18" s="19">
        <v>10</v>
      </c>
      <c r="I18" s="19">
        <v>18</v>
      </c>
      <c r="J18" s="11" t="s">
        <v>161</v>
      </c>
      <c r="K18" s="11" t="s">
        <v>160</v>
      </c>
      <c r="L18" s="11" t="s">
        <v>307</v>
      </c>
      <c r="M18" s="11" t="s">
        <v>304</v>
      </c>
      <c r="N18" s="26">
        <v>0.45</v>
      </c>
      <c r="O18" s="26">
        <v>0.45</v>
      </c>
      <c r="P18" s="26">
        <v>0.1</v>
      </c>
      <c r="Q18" s="4" t="s">
        <v>295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7.6">
      <c r="A19" s="11" t="s">
        <v>318</v>
      </c>
      <c r="B19" s="11" t="s">
        <v>40</v>
      </c>
      <c r="C19" s="11" t="s">
        <v>316</v>
      </c>
      <c r="D19" s="11" t="s">
        <v>319</v>
      </c>
      <c r="E19" s="11" t="s">
        <v>288</v>
      </c>
      <c r="F19" s="11" t="s">
        <v>270</v>
      </c>
      <c r="G19" s="19">
        <v>100</v>
      </c>
      <c r="H19" s="19">
        <v>250</v>
      </c>
      <c r="I19" s="19">
        <v>500</v>
      </c>
      <c r="J19" s="11" t="s">
        <v>161</v>
      </c>
      <c r="K19" s="11" t="s">
        <v>160</v>
      </c>
      <c r="L19" s="11" t="s">
        <v>307</v>
      </c>
      <c r="M19" s="11" t="s">
        <v>304</v>
      </c>
      <c r="N19" s="26">
        <v>0.45</v>
      </c>
      <c r="O19" s="26">
        <v>0.45</v>
      </c>
      <c r="P19" s="26">
        <v>0.1</v>
      </c>
      <c r="Q19" s="4" t="s">
        <v>295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7.6">
      <c r="A20" s="11" t="s">
        <v>320</v>
      </c>
      <c r="B20" s="11" t="s">
        <v>40</v>
      </c>
      <c r="C20" s="11" t="s">
        <v>278</v>
      </c>
      <c r="D20" s="11" t="s">
        <v>321</v>
      </c>
      <c r="E20" s="11" t="s">
        <v>269</v>
      </c>
      <c r="F20" s="11" t="s">
        <v>285</v>
      </c>
      <c r="G20" s="19">
        <v>8</v>
      </c>
      <c r="H20" s="19">
        <v>18</v>
      </c>
      <c r="I20" s="19">
        <v>35</v>
      </c>
      <c r="J20" s="11" t="s">
        <v>271</v>
      </c>
      <c r="K20" s="11" t="s">
        <v>160</v>
      </c>
      <c r="L20" s="11" t="s">
        <v>307</v>
      </c>
      <c r="M20" s="11" t="s">
        <v>304</v>
      </c>
      <c r="N20" s="26">
        <v>0.45</v>
      </c>
      <c r="O20" s="26">
        <v>0.45</v>
      </c>
      <c r="P20" s="26">
        <v>0.1</v>
      </c>
      <c r="Q20" s="4" t="s">
        <v>282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7.6">
      <c r="A21" s="11" t="s">
        <v>322</v>
      </c>
      <c r="B21" s="11" t="s">
        <v>40</v>
      </c>
      <c r="C21" s="11" t="s">
        <v>323</v>
      </c>
      <c r="D21" s="11" t="s">
        <v>324</v>
      </c>
      <c r="E21" s="11" t="s">
        <v>325</v>
      </c>
      <c r="F21" s="11" t="s">
        <v>298</v>
      </c>
      <c r="G21" s="19">
        <v>1.5</v>
      </c>
      <c r="H21" s="19">
        <v>3</v>
      </c>
      <c r="I21" s="19">
        <v>5.5</v>
      </c>
      <c r="J21" s="11" t="s">
        <v>161</v>
      </c>
      <c r="K21" s="11" t="s">
        <v>160</v>
      </c>
      <c r="L21" s="11" t="s">
        <v>280</v>
      </c>
      <c r="M21" s="11" t="s">
        <v>281</v>
      </c>
      <c r="N21" s="26">
        <v>0.4</v>
      </c>
      <c r="O21" s="26">
        <v>0.5</v>
      </c>
      <c r="P21" s="26">
        <v>0.1</v>
      </c>
      <c r="Q21" s="4" t="s">
        <v>326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27.6">
      <c r="A22" s="11" t="s">
        <v>327</v>
      </c>
      <c r="B22" s="11" t="s">
        <v>40</v>
      </c>
      <c r="C22" s="11" t="s">
        <v>301</v>
      </c>
      <c r="D22" s="11" t="s">
        <v>328</v>
      </c>
      <c r="E22" s="11" t="s">
        <v>269</v>
      </c>
      <c r="F22" s="11" t="s">
        <v>262</v>
      </c>
      <c r="G22" s="19">
        <v>300</v>
      </c>
      <c r="H22" s="19">
        <v>700</v>
      </c>
      <c r="I22" s="19">
        <v>1500</v>
      </c>
      <c r="J22" s="11" t="s">
        <v>271</v>
      </c>
      <c r="K22" s="11" t="s">
        <v>160</v>
      </c>
      <c r="L22" s="11" t="s">
        <v>307</v>
      </c>
      <c r="M22" s="11" t="s">
        <v>304</v>
      </c>
      <c r="N22" s="26">
        <v>0.45</v>
      </c>
      <c r="O22" s="26">
        <v>0.45</v>
      </c>
      <c r="P22" s="26">
        <v>0.1</v>
      </c>
      <c r="Q22" s="4" t="s">
        <v>295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27.6">
      <c r="A23" s="11" t="s">
        <v>329</v>
      </c>
      <c r="B23" s="11" t="s">
        <v>40</v>
      </c>
      <c r="C23" s="11" t="s">
        <v>330</v>
      </c>
      <c r="D23" s="11" t="s">
        <v>331</v>
      </c>
      <c r="E23" s="11" t="s">
        <v>269</v>
      </c>
      <c r="F23" s="11" t="s">
        <v>262</v>
      </c>
      <c r="G23" s="19">
        <v>500</v>
      </c>
      <c r="H23" s="19">
        <v>1500</v>
      </c>
      <c r="I23" s="19">
        <v>4000</v>
      </c>
      <c r="J23" s="11" t="s">
        <v>161</v>
      </c>
      <c r="K23" s="11" t="s">
        <v>117</v>
      </c>
      <c r="L23" s="11" t="s">
        <v>280</v>
      </c>
      <c r="M23" s="11" t="s">
        <v>281</v>
      </c>
      <c r="N23" s="26">
        <v>0.15</v>
      </c>
      <c r="O23" s="26">
        <v>0.6</v>
      </c>
      <c r="P23" s="26">
        <v>0.25</v>
      </c>
      <c r="Q23" s="4" t="s">
        <v>332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27.6">
      <c r="A24" s="11" t="s">
        <v>333</v>
      </c>
      <c r="B24" s="11" t="s">
        <v>30</v>
      </c>
      <c r="C24" s="11" t="s">
        <v>334</v>
      </c>
      <c r="D24" s="11" t="s">
        <v>335</v>
      </c>
      <c r="E24" s="11" t="s">
        <v>288</v>
      </c>
      <c r="F24" s="11" t="s">
        <v>298</v>
      </c>
      <c r="G24" s="19">
        <v>6</v>
      </c>
      <c r="H24" s="19">
        <v>10</v>
      </c>
      <c r="I24" s="19">
        <v>18</v>
      </c>
      <c r="J24" s="11" t="s">
        <v>271</v>
      </c>
      <c r="K24" s="11" t="s">
        <v>160</v>
      </c>
      <c r="L24" s="11" t="s">
        <v>280</v>
      </c>
      <c r="M24" s="11" t="s">
        <v>281</v>
      </c>
      <c r="N24" s="26">
        <v>0.45</v>
      </c>
      <c r="O24" s="26">
        <v>0.45</v>
      </c>
      <c r="P24" s="26">
        <v>0.1</v>
      </c>
      <c r="Q24" s="4" t="s">
        <v>282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27.6">
      <c r="A25" s="11" t="s">
        <v>336</v>
      </c>
      <c r="B25" s="11" t="s">
        <v>30</v>
      </c>
      <c r="C25" s="11" t="s">
        <v>337</v>
      </c>
      <c r="D25" s="11" t="s">
        <v>338</v>
      </c>
      <c r="E25" s="11" t="s">
        <v>325</v>
      </c>
      <c r="F25" s="11" t="s">
        <v>298</v>
      </c>
      <c r="G25" s="19">
        <v>0.8</v>
      </c>
      <c r="H25" s="19">
        <v>1.5</v>
      </c>
      <c r="I25" s="19">
        <v>2.25</v>
      </c>
      <c r="J25" s="11" t="s">
        <v>161</v>
      </c>
      <c r="K25" s="11" t="s">
        <v>160</v>
      </c>
      <c r="L25" s="11" t="s">
        <v>339</v>
      </c>
      <c r="M25" s="11" t="s">
        <v>340</v>
      </c>
      <c r="N25" s="26">
        <v>0.25</v>
      </c>
      <c r="O25" s="26">
        <v>0.7</v>
      </c>
      <c r="P25" s="26">
        <v>0.05</v>
      </c>
      <c r="Q25" s="4" t="s">
        <v>341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27.6">
      <c r="A26" s="11" t="s">
        <v>342</v>
      </c>
      <c r="B26" s="11" t="s">
        <v>30</v>
      </c>
      <c r="C26" s="11" t="s">
        <v>290</v>
      </c>
      <c r="D26" s="11" t="s">
        <v>343</v>
      </c>
      <c r="E26" s="11" t="s">
        <v>269</v>
      </c>
      <c r="F26" s="11" t="s">
        <v>298</v>
      </c>
      <c r="G26" s="19">
        <v>8</v>
      </c>
      <c r="H26" s="19">
        <v>15</v>
      </c>
      <c r="I26" s="19">
        <v>30</v>
      </c>
      <c r="J26" s="11" t="s">
        <v>271</v>
      </c>
      <c r="K26" s="11" t="s">
        <v>160</v>
      </c>
      <c r="L26" s="11" t="s">
        <v>280</v>
      </c>
      <c r="M26" s="11" t="s">
        <v>281</v>
      </c>
      <c r="N26" s="26">
        <v>0.35</v>
      </c>
      <c r="O26" s="26">
        <v>0.5</v>
      </c>
      <c r="P26" s="26">
        <v>0.15</v>
      </c>
      <c r="Q26" s="4" t="s">
        <v>272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27.6">
      <c r="A27" s="11" t="s">
        <v>344</v>
      </c>
      <c r="B27" s="11" t="s">
        <v>30</v>
      </c>
      <c r="C27" s="11" t="s">
        <v>290</v>
      </c>
      <c r="D27" s="11" t="s">
        <v>345</v>
      </c>
      <c r="E27" s="11" t="s">
        <v>269</v>
      </c>
      <c r="F27" s="11" t="s">
        <v>262</v>
      </c>
      <c r="G27" s="19">
        <v>500</v>
      </c>
      <c r="H27" s="19">
        <v>1500</v>
      </c>
      <c r="I27" s="19">
        <v>5000</v>
      </c>
      <c r="J27" s="11" t="s">
        <v>271</v>
      </c>
      <c r="K27" s="11" t="s">
        <v>117</v>
      </c>
      <c r="L27" s="11" t="s">
        <v>280</v>
      </c>
      <c r="M27" s="11" t="s">
        <v>281</v>
      </c>
      <c r="N27" s="26">
        <v>0.35</v>
      </c>
      <c r="O27" s="26">
        <v>0.5</v>
      </c>
      <c r="P27" s="26">
        <v>0.15</v>
      </c>
      <c r="Q27" s="4" t="s">
        <v>272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27.6">
      <c r="A28" s="11" t="s">
        <v>346</v>
      </c>
      <c r="B28" s="11" t="s">
        <v>30</v>
      </c>
      <c r="C28" s="11" t="s">
        <v>347</v>
      </c>
      <c r="D28" s="11" t="s">
        <v>348</v>
      </c>
      <c r="E28" s="11" t="s">
        <v>269</v>
      </c>
      <c r="F28" s="11" t="s">
        <v>262</v>
      </c>
      <c r="G28" s="19">
        <v>500</v>
      </c>
      <c r="H28" s="19">
        <v>2000</v>
      </c>
      <c r="I28" s="19">
        <v>6000</v>
      </c>
      <c r="J28" s="11" t="s">
        <v>271</v>
      </c>
      <c r="K28" s="11" t="s">
        <v>160</v>
      </c>
      <c r="L28" s="11" t="s">
        <v>280</v>
      </c>
      <c r="M28" s="11" t="s">
        <v>281</v>
      </c>
      <c r="N28" s="26">
        <v>0.35</v>
      </c>
      <c r="O28" s="26">
        <v>0.5</v>
      </c>
      <c r="P28" s="26">
        <v>0.15</v>
      </c>
      <c r="Q28" s="4" t="s">
        <v>272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27.6">
      <c r="A29" s="11" t="s">
        <v>349</v>
      </c>
      <c r="B29" s="11" t="s">
        <v>30</v>
      </c>
      <c r="C29" s="11" t="s">
        <v>350</v>
      </c>
      <c r="D29" s="11" t="s">
        <v>351</v>
      </c>
      <c r="E29" s="11" t="s">
        <v>269</v>
      </c>
      <c r="F29" s="11" t="s">
        <v>262</v>
      </c>
      <c r="G29" s="19">
        <v>500</v>
      </c>
      <c r="H29" s="19">
        <v>2500</v>
      </c>
      <c r="I29" s="19">
        <v>8000</v>
      </c>
      <c r="J29" s="11" t="s">
        <v>271</v>
      </c>
      <c r="K29" s="11" t="s">
        <v>117</v>
      </c>
      <c r="L29" s="11" t="s">
        <v>280</v>
      </c>
      <c r="M29" s="11" t="s">
        <v>281</v>
      </c>
      <c r="N29" s="26">
        <v>0.45</v>
      </c>
      <c r="O29" s="26">
        <v>0.45</v>
      </c>
      <c r="P29" s="26">
        <v>0.1</v>
      </c>
      <c r="Q29" s="4" t="s">
        <v>282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27.6">
      <c r="A30" s="11" t="s">
        <v>352</v>
      </c>
      <c r="B30" s="11" t="s">
        <v>30</v>
      </c>
      <c r="C30" s="11" t="s">
        <v>350</v>
      </c>
      <c r="D30" s="11" t="s">
        <v>353</v>
      </c>
      <c r="E30" s="11" t="s">
        <v>288</v>
      </c>
      <c r="F30" s="11" t="s">
        <v>298</v>
      </c>
      <c r="G30" s="19">
        <v>25</v>
      </c>
      <c r="H30" s="19">
        <v>45</v>
      </c>
      <c r="I30" s="19">
        <v>70</v>
      </c>
      <c r="J30" s="11" t="s">
        <v>155</v>
      </c>
      <c r="K30" s="11" t="s">
        <v>160</v>
      </c>
      <c r="L30" s="11" t="s">
        <v>280</v>
      </c>
      <c r="M30" s="11" t="s">
        <v>281</v>
      </c>
      <c r="N30" s="26">
        <v>0.45</v>
      </c>
      <c r="O30" s="26">
        <v>0.45</v>
      </c>
      <c r="P30" s="26">
        <v>0.1</v>
      </c>
      <c r="Q30" s="4" t="s">
        <v>282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27.6">
      <c r="A31" s="11" t="s">
        <v>354</v>
      </c>
      <c r="B31" s="11" t="s">
        <v>30</v>
      </c>
      <c r="C31" s="11" t="s">
        <v>355</v>
      </c>
      <c r="D31" s="11" t="s">
        <v>356</v>
      </c>
      <c r="E31" s="11" t="s">
        <v>288</v>
      </c>
      <c r="F31" s="11" t="s">
        <v>285</v>
      </c>
      <c r="G31" s="19">
        <v>20</v>
      </c>
      <c r="H31" s="19">
        <v>35</v>
      </c>
      <c r="I31" s="19">
        <v>60</v>
      </c>
      <c r="J31" s="11" t="s">
        <v>271</v>
      </c>
      <c r="K31" s="11" t="s">
        <v>115</v>
      </c>
      <c r="L31" s="11" t="s">
        <v>280</v>
      </c>
      <c r="M31" s="11" t="s">
        <v>281</v>
      </c>
      <c r="N31" s="26">
        <v>0.4</v>
      </c>
      <c r="O31" s="26">
        <v>0.5</v>
      </c>
      <c r="P31" s="26">
        <v>0.1</v>
      </c>
      <c r="Q31" s="4" t="s">
        <v>357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7.6">
      <c r="A32" s="11" t="s">
        <v>358</v>
      </c>
      <c r="B32" s="11" t="s">
        <v>30</v>
      </c>
      <c r="C32" s="11" t="s">
        <v>347</v>
      </c>
      <c r="D32" s="11" t="s">
        <v>359</v>
      </c>
      <c r="E32" s="11" t="s">
        <v>269</v>
      </c>
      <c r="F32" s="11" t="s">
        <v>298</v>
      </c>
      <c r="G32" s="19">
        <v>3</v>
      </c>
      <c r="H32" s="19">
        <v>7</v>
      </c>
      <c r="I32" s="19">
        <v>15</v>
      </c>
      <c r="J32" s="11" t="s">
        <v>271</v>
      </c>
      <c r="K32" s="11" t="s">
        <v>160</v>
      </c>
      <c r="L32" s="11" t="s">
        <v>280</v>
      </c>
      <c r="M32" s="11" t="s">
        <v>281</v>
      </c>
      <c r="N32" s="26">
        <v>0.35</v>
      </c>
      <c r="O32" s="26">
        <v>0.5</v>
      </c>
      <c r="P32" s="26">
        <v>0.15</v>
      </c>
      <c r="Q32" s="4" t="s">
        <v>272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27.6">
      <c r="A33" s="11" t="s">
        <v>360</v>
      </c>
      <c r="B33" s="11" t="s">
        <v>30</v>
      </c>
      <c r="C33" s="11" t="s">
        <v>347</v>
      </c>
      <c r="D33" s="11" t="s">
        <v>361</v>
      </c>
      <c r="E33" s="11" t="s">
        <v>288</v>
      </c>
      <c r="F33" s="11" t="s">
        <v>298</v>
      </c>
      <c r="G33" s="19">
        <v>8</v>
      </c>
      <c r="H33" s="19">
        <v>14</v>
      </c>
      <c r="I33" s="19">
        <v>22</v>
      </c>
      <c r="J33" s="11" t="s">
        <v>271</v>
      </c>
      <c r="K33" s="11" t="s">
        <v>160</v>
      </c>
      <c r="L33" s="11" t="s">
        <v>280</v>
      </c>
      <c r="M33" s="11" t="s">
        <v>281</v>
      </c>
      <c r="N33" s="26">
        <v>0.35</v>
      </c>
      <c r="O33" s="26">
        <v>0.5</v>
      </c>
      <c r="P33" s="26">
        <v>0.15</v>
      </c>
      <c r="Q33" s="4" t="s">
        <v>272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27.6">
      <c r="A34" s="11" t="s">
        <v>362</v>
      </c>
      <c r="B34" s="11" t="s">
        <v>30</v>
      </c>
      <c r="C34" s="11" t="s">
        <v>363</v>
      </c>
      <c r="D34" s="11" t="s">
        <v>364</v>
      </c>
      <c r="E34" s="11" t="s">
        <v>269</v>
      </c>
      <c r="F34" s="11" t="s">
        <v>262</v>
      </c>
      <c r="G34" s="19">
        <v>500</v>
      </c>
      <c r="H34" s="19">
        <v>1800</v>
      </c>
      <c r="I34" s="19">
        <v>6000</v>
      </c>
      <c r="J34" s="11" t="s">
        <v>271</v>
      </c>
      <c r="K34" s="11" t="s">
        <v>117</v>
      </c>
      <c r="L34" s="11" t="s">
        <v>280</v>
      </c>
      <c r="M34" s="11" t="s">
        <v>281</v>
      </c>
      <c r="N34" s="26">
        <v>0.3</v>
      </c>
      <c r="O34" s="26">
        <v>0.55000000000000004</v>
      </c>
      <c r="P34" s="26">
        <v>0.15</v>
      </c>
      <c r="Q34" s="4" t="s">
        <v>365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27.6">
      <c r="A35" s="11" t="s">
        <v>366</v>
      </c>
      <c r="B35" s="11" t="s">
        <v>30</v>
      </c>
      <c r="C35" s="11" t="s">
        <v>363</v>
      </c>
      <c r="D35" s="11" t="s">
        <v>367</v>
      </c>
      <c r="E35" s="11" t="s">
        <v>269</v>
      </c>
      <c r="F35" s="11" t="s">
        <v>270</v>
      </c>
      <c r="G35" s="19">
        <v>400</v>
      </c>
      <c r="H35" s="19">
        <v>1000</v>
      </c>
      <c r="I35" s="19">
        <v>2500</v>
      </c>
      <c r="J35" s="11" t="s">
        <v>271</v>
      </c>
      <c r="K35" s="11" t="s">
        <v>117</v>
      </c>
      <c r="L35" s="11" t="s">
        <v>280</v>
      </c>
      <c r="M35" s="11" t="s">
        <v>281</v>
      </c>
      <c r="N35" s="26">
        <v>0.3</v>
      </c>
      <c r="O35" s="26">
        <v>0.55000000000000004</v>
      </c>
      <c r="P35" s="26">
        <v>0.15</v>
      </c>
      <c r="Q35" s="4" t="s">
        <v>365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27.6">
      <c r="A36" s="11" t="s">
        <v>241</v>
      </c>
      <c r="B36" s="11" t="s">
        <v>30</v>
      </c>
      <c r="C36" s="11" t="s">
        <v>363</v>
      </c>
      <c r="D36" s="11" t="s">
        <v>368</v>
      </c>
      <c r="E36" s="11" t="s">
        <v>325</v>
      </c>
      <c r="F36" s="11" t="s">
        <v>262</v>
      </c>
      <c r="G36" s="19">
        <v>500</v>
      </c>
      <c r="H36" s="19">
        <v>2000</v>
      </c>
      <c r="I36" s="19">
        <v>6000</v>
      </c>
      <c r="J36" s="11" t="s">
        <v>161</v>
      </c>
      <c r="K36" s="11" t="s">
        <v>115</v>
      </c>
      <c r="L36" s="11" t="s">
        <v>280</v>
      </c>
      <c r="M36" s="11" t="s">
        <v>281</v>
      </c>
      <c r="N36" s="26">
        <v>0.3</v>
      </c>
      <c r="O36" s="26">
        <v>0.55000000000000004</v>
      </c>
      <c r="P36" s="26">
        <v>0.15</v>
      </c>
      <c r="Q36" s="4" t="s">
        <v>365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27.6">
      <c r="A37" s="11" t="s">
        <v>369</v>
      </c>
      <c r="B37" s="11" t="s">
        <v>30</v>
      </c>
      <c r="C37" s="11" t="s">
        <v>370</v>
      </c>
      <c r="D37" s="11" t="s">
        <v>371</v>
      </c>
      <c r="E37" s="11" t="s">
        <v>325</v>
      </c>
      <c r="F37" s="11" t="s">
        <v>298</v>
      </c>
      <c r="G37" s="19">
        <v>0.2</v>
      </c>
      <c r="H37" s="19">
        <v>0.5</v>
      </c>
      <c r="I37" s="19">
        <v>1</v>
      </c>
      <c r="J37" s="11" t="s">
        <v>161</v>
      </c>
      <c r="K37" s="11" t="s">
        <v>115</v>
      </c>
      <c r="L37" s="11" t="s">
        <v>280</v>
      </c>
      <c r="M37" s="11" t="s">
        <v>281</v>
      </c>
      <c r="N37" s="26">
        <v>0.05</v>
      </c>
      <c r="O37" s="26">
        <v>0.9</v>
      </c>
      <c r="P37" s="26">
        <v>0.05</v>
      </c>
      <c r="Q37" s="4" t="s">
        <v>372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27.6">
      <c r="A38" s="11" t="s">
        <v>373</v>
      </c>
      <c r="B38" s="11" t="s">
        <v>30</v>
      </c>
      <c r="C38" s="11" t="s">
        <v>374</v>
      </c>
      <c r="D38" s="11" t="s">
        <v>375</v>
      </c>
      <c r="E38" s="11" t="s">
        <v>269</v>
      </c>
      <c r="F38" s="11" t="s">
        <v>262</v>
      </c>
      <c r="G38" s="19">
        <v>1200</v>
      </c>
      <c r="H38" s="19">
        <v>3500</v>
      </c>
      <c r="I38" s="19">
        <v>8000</v>
      </c>
      <c r="J38" s="11" t="s">
        <v>271</v>
      </c>
      <c r="K38" s="11" t="s">
        <v>117</v>
      </c>
      <c r="L38" s="11" t="s">
        <v>280</v>
      </c>
      <c r="M38" s="11" t="s">
        <v>281</v>
      </c>
      <c r="N38" s="26">
        <v>0.4</v>
      </c>
      <c r="O38" s="26">
        <v>0.5</v>
      </c>
      <c r="P38" s="26">
        <v>0.1</v>
      </c>
      <c r="Q38" s="4" t="s">
        <v>326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27.6">
      <c r="A39" s="11" t="s">
        <v>187</v>
      </c>
      <c r="B39" s="11" t="s">
        <v>28</v>
      </c>
      <c r="C39" s="11" t="s">
        <v>376</v>
      </c>
      <c r="D39" s="11" t="s">
        <v>377</v>
      </c>
      <c r="E39" s="11" t="s">
        <v>288</v>
      </c>
      <c r="F39" s="11" t="s">
        <v>262</v>
      </c>
      <c r="G39" s="19">
        <v>1800</v>
      </c>
      <c r="H39" s="19">
        <v>3000</v>
      </c>
      <c r="I39" s="19">
        <v>5000</v>
      </c>
      <c r="J39" s="11" t="s">
        <v>155</v>
      </c>
      <c r="K39" s="11" t="s">
        <v>175</v>
      </c>
      <c r="L39" s="11" t="s">
        <v>280</v>
      </c>
      <c r="M39" s="11" t="s">
        <v>281</v>
      </c>
      <c r="N39" s="26">
        <v>0.35</v>
      </c>
      <c r="O39" s="26">
        <v>0.55000000000000004</v>
      </c>
      <c r="P39" s="26">
        <v>0.1</v>
      </c>
      <c r="Q39" s="4" t="s">
        <v>378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27.6">
      <c r="A40" s="11" t="s">
        <v>379</v>
      </c>
      <c r="B40" s="11" t="s">
        <v>28</v>
      </c>
      <c r="C40" s="11" t="s">
        <v>376</v>
      </c>
      <c r="D40" s="11" t="s">
        <v>380</v>
      </c>
      <c r="E40" s="11" t="s">
        <v>288</v>
      </c>
      <c r="F40" s="11" t="s">
        <v>298</v>
      </c>
      <c r="G40" s="19">
        <v>4</v>
      </c>
      <c r="H40" s="19">
        <v>8</v>
      </c>
      <c r="I40" s="19">
        <v>12</v>
      </c>
      <c r="J40" s="11" t="s">
        <v>155</v>
      </c>
      <c r="K40" s="11" t="s">
        <v>175</v>
      </c>
      <c r="L40" s="11" t="s">
        <v>280</v>
      </c>
      <c r="M40" s="11" t="s">
        <v>281</v>
      </c>
      <c r="N40" s="26">
        <v>0.35</v>
      </c>
      <c r="O40" s="26">
        <v>0.55000000000000004</v>
      </c>
      <c r="P40" s="26">
        <v>0.1</v>
      </c>
      <c r="Q40" s="4" t="s">
        <v>378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27.6">
      <c r="A41" s="11" t="s">
        <v>381</v>
      </c>
      <c r="B41" s="11" t="s">
        <v>28</v>
      </c>
      <c r="C41" s="11" t="s">
        <v>376</v>
      </c>
      <c r="D41" s="11" t="s">
        <v>382</v>
      </c>
      <c r="E41" s="11" t="s">
        <v>269</v>
      </c>
      <c r="F41" s="11" t="s">
        <v>270</v>
      </c>
      <c r="G41" s="19">
        <v>125</v>
      </c>
      <c r="H41" s="19">
        <v>200</v>
      </c>
      <c r="I41" s="19">
        <v>350</v>
      </c>
      <c r="J41" s="11" t="s">
        <v>271</v>
      </c>
      <c r="K41" s="11" t="s">
        <v>117</v>
      </c>
      <c r="L41" s="11" t="s">
        <v>280</v>
      </c>
      <c r="M41" s="11" t="s">
        <v>281</v>
      </c>
      <c r="N41" s="26">
        <v>0.35</v>
      </c>
      <c r="O41" s="26">
        <v>0.55000000000000004</v>
      </c>
      <c r="P41" s="26">
        <v>0.1</v>
      </c>
      <c r="Q41" s="4" t="s">
        <v>378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7.6">
      <c r="A42" s="11" t="s">
        <v>383</v>
      </c>
      <c r="B42" s="11" t="s">
        <v>28</v>
      </c>
      <c r="C42" s="11" t="s">
        <v>376</v>
      </c>
      <c r="D42" s="11" t="s">
        <v>384</v>
      </c>
      <c r="E42" s="11" t="s">
        <v>269</v>
      </c>
      <c r="F42" s="11" t="s">
        <v>270</v>
      </c>
      <c r="G42" s="19">
        <v>150</v>
      </c>
      <c r="H42" s="19">
        <v>250</v>
      </c>
      <c r="I42" s="19">
        <v>400</v>
      </c>
      <c r="J42" s="11" t="s">
        <v>271</v>
      </c>
      <c r="K42" s="11" t="s">
        <v>117</v>
      </c>
      <c r="L42" s="11" t="s">
        <v>280</v>
      </c>
      <c r="M42" s="11" t="s">
        <v>281</v>
      </c>
      <c r="N42" s="26">
        <v>0.35</v>
      </c>
      <c r="O42" s="26">
        <v>0.55000000000000004</v>
      </c>
      <c r="P42" s="26">
        <v>0.1</v>
      </c>
      <c r="Q42" s="4" t="s">
        <v>378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27.6">
      <c r="A43" s="11" t="s">
        <v>385</v>
      </c>
      <c r="B43" s="11" t="s">
        <v>28</v>
      </c>
      <c r="C43" s="11" t="s">
        <v>376</v>
      </c>
      <c r="D43" s="11" t="s">
        <v>386</v>
      </c>
      <c r="E43" s="11" t="s">
        <v>269</v>
      </c>
      <c r="F43" s="11" t="s">
        <v>270</v>
      </c>
      <c r="G43" s="19">
        <v>75</v>
      </c>
      <c r="H43" s="19">
        <v>150</v>
      </c>
      <c r="I43" s="19">
        <v>250</v>
      </c>
      <c r="J43" s="11" t="s">
        <v>161</v>
      </c>
      <c r="K43" s="11" t="s">
        <v>160</v>
      </c>
      <c r="L43" s="11" t="s">
        <v>280</v>
      </c>
      <c r="M43" s="11" t="s">
        <v>281</v>
      </c>
      <c r="N43" s="26">
        <v>0.35</v>
      </c>
      <c r="O43" s="26">
        <v>0.55000000000000004</v>
      </c>
      <c r="P43" s="26">
        <v>0.1</v>
      </c>
      <c r="Q43" s="4" t="s">
        <v>378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27.6">
      <c r="A44" s="11" t="s">
        <v>387</v>
      </c>
      <c r="B44" s="11" t="s">
        <v>28</v>
      </c>
      <c r="C44" s="11" t="s">
        <v>376</v>
      </c>
      <c r="D44" s="11" t="s">
        <v>388</v>
      </c>
      <c r="E44" s="11" t="s">
        <v>325</v>
      </c>
      <c r="F44" s="11" t="s">
        <v>270</v>
      </c>
      <c r="G44" s="19">
        <v>150</v>
      </c>
      <c r="H44" s="19">
        <v>400</v>
      </c>
      <c r="I44" s="19">
        <v>1000</v>
      </c>
      <c r="J44" s="11" t="s">
        <v>161</v>
      </c>
      <c r="K44" s="11" t="s">
        <v>115</v>
      </c>
      <c r="L44" s="11" t="s">
        <v>389</v>
      </c>
      <c r="M44" s="11" t="s">
        <v>390</v>
      </c>
      <c r="N44" s="26">
        <v>0.35</v>
      </c>
      <c r="O44" s="26">
        <v>0.55000000000000004</v>
      </c>
      <c r="P44" s="26">
        <v>0.1</v>
      </c>
      <c r="Q44" s="4" t="s">
        <v>378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27.6">
      <c r="A45" s="11" t="s">
        <v>391</v>
      </c>
      <c r="B45" s="11" t="s">
        <v>28</v>
      </c>
      <c r="C45" s="11" t="s">
        <v>376</v>
      </c>
      <c r="D45" s="11" t="s">
        <v>392</v>
      </c>
      <c r="E45" s="11" t="s">
        <v>325</v>
      </c>
      <c r="F45" s="11" t="s">
        <v>270</v>
      </c>
      <c r="G45" s="19">
        <v>250</v>
      </c>
      <c r="H45" s="19">
        <v>450</v>
      </c>
      <c r="I45" s="19">
        <v>700</v>
      </c>
      <c r="J45" s="11" t="s">
        <v>161</v>
      </c>
      <c r="K45" s="11" t="s">
        <v>115</v>
      </c>
      <c r="L45" s="11" t="s">
        <v>280</v>
      </c>
      <c r="M45" s="11" t="s">
        <v>281</v>
      </c>
      <c r="N45" s="26">
        <v>0.35</v>
      </c>
      <c r="O45" s="26">
        <v>0.55000000000000004</v>
      </c>
      <c r="P45" s="26">
        <v>0.1</v>
      </c>
      <c r="Q45" s="4" t="s">
        <v>378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27.6">
      <c r="A46" s="11" t="s">
        <v>393</v>
      </c>
      <c r="B46" s="11" t="s">
        <v>28</v>
      </c>
      <c r="C46" s="11" t="s">
        <v>376</v>
      </c>
      <c r="D46" s="11" t="s">
        <v>394</v>
      </c>
      <c r="E46" s="11" t="s">
        <v>269</v>
      </c>
      <c r="F46" s="11" t="s">
        <v>262</v>
      </c>
      <c r="G46" s="19">
        <v>500</v>
      </c>
      <c r="H46" s="19">
        <v>1500</v>
      </c>
      <c r="I46" s="19">
        <v>4000</v>
      </c>
      <c r="J46" s="11" t="s">
        <v>155</v>
      </c>
      <c r="K46" s="11" t="s">
        <v>175</v>
      </c>
      <c r="L46" s="11" t="s">
        <v>280</v>
      </c>
      <c r="M46" s="11" t="s">
        <v>281</v>
      </c>
      <c r="N46" s="26">
        <v>0.35</v>
      </c>
      <c r="O46" s="26">
        <v>0.55000000000000004</v>
      </c>
      <c r="P46" s="26">
        <v>0.1</v>
      </c>
      <c r="Q46" s="4" t="s">
        <v>378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27.6">
      <c r="A47" s="11" t="s">
        <v>395</v>
      </c>
      <c r="B47" s="11" t="s">
        <v>28</v>
      </c>
      <c r="C47" s="11" t="s">
        <v>376</v>
      </c>
      <c r="D47" s="11" t="s">
        <v>396</v>
      </c>
      <c r="E47" s="11" t="s">
        <v>269</v>
      </c>
      <c r="F47" s="11" t="s">
        <v>262</v>
      </c>
      <c r="G47" s="19">
        <v>1000</v>
      </c>
      <c r="H47" s="19">
        <v>2500</v>
      </c>
      <c r="I47" s="19">
        <v>5000</v>
      </c>
      <c r="J47" s="11" t="s">
        <v>155</v>
      </c>
      <c r="K47" s="11" t="s">
        <v>117</v>
      </c>
      <c r="L47" s="11" t="s">
        <v>280</v>
      </c>
      <c r="M47" s="11" t="s">
        <v>281</v>
      </c>
      <c r="N47" s="26">
        <v>0.35</v>
      </c>
      <c r="O47" s="26">
        <v>0.55000000000000004</v>
      </c>
      <c r="P47" s="26">
        <v>0.1</v>
      </c>
      <c r="Q47" s="4" t="s">
        <v>378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27.6">
      <c r="A48" s="11" t="s">
        <v>397</v>
      </c>
      <c r="B48" s="11" t="s">
        <v>28</v>
      </c>
      <c r="C48" s="11" t="s">
        <v>376</v>
      </c>
      <c r="D48" s="11" t="s">
        <v>398</v>
      </c>
      <c r="E48" s="11" t="s">
        <v>269</v>
      </c>
      <c r="F48" s="11" t="s">
        <v>270</v>
      </c>
      <c r="G48" s="19">
        <v>300</v>
      </c>
      <c r="H48" s="19">
        <v>700</v>
      </c>
      <c r="I48" s="19">
        <v>1500</v>
      </c>
      <c r="J48" s="11" t="s">
        <v>271</v>
      </c>
      <c r="K48" s="11" t="s">
        <v>117</v>
      </c>
      <c r="L48" s="11" t="s">
        <v>280</v>
      </c>
      <c r="M48" s="11" t="s">
        <v>281</v>
      </c>
      <c r="N48" s="26">
        <v>0.35</v>
      </c>
      <c r="O48" s="26">
        <v>0.55000000000000004</v>
      </c>
      <c r="P48" s="26">
        <v>0.1</v>
      </c>
      <c r="Q48" s="4" t="s">
        <v>378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27.6">
      <c r="A49" s="11" t="s">
        <v>399</v>
      </c>
      <c r="B49" s="11" t="s">
        <v>28</v>
      </c>
      <c r="C49" s="11" t="s">
        <v>376</v>
      </c>
      <c r="D49" s="11" t="s">
        <v>400</v>
      </c>
      <c r="E49" s="11" t="s">
        <v>269</v>
      </c>
      <c r="F49" s="11" t="s">
        <v>270</v>
      </c>
      <c r="G49" s="19">
        <v>150</v>
      </c>
      <c r="H49" s="19">
        <v>400</v>
      </c>
      <c r="I49" s="19">
        <v>1000</v>
      </c>
      <c r="J49" s="11" t="s">
        <v>271</v>
      </c>
      <c r="K49" s="11" t="s">
        <v>117</v>
      </c>
      <c r="L49" s="11" t="s">
        <v>280</v>
      </c>
      <c r="M49" s="11" t="s">
        <v>281</v>
      </c>
      <c r="N49" s="26">
        <v>0.35</v>
      </c>
      <c r="O49" s="26">
        <v>0.55000000000000004</v>
      </c>
      <c r="P49" s="26">
        <v>0.1</v>
      </c>
      <c r="Q49" s="4" t="s">
        <v>378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27.6">
      <c r="A50" s="11" t="s">
        <v>401</v>
      </c>
      <c r="B50" s="11" t="s">
        <v>28</v>
      </c>
      <c r="C50" s="11" t="s">
        <v>376</v>
      </c>
      <c r="D50" s="11" t="s">
        <v>402</v>
      </c>
      <c r="E50" s="11" t="s">
        <v>269</v>
      </c>
      <c r="F50" s="11" t="s">
        <v>270</v>
      </c>
      <c r="G50" s="19">
        <v>60</v>
      </c>
      <c r="H50" s="19">
        <v>120</v>
      </c>
      <c r="I50" s="19">
        <v>250</v>
      </c>
      <c r="J50" s="11" t="s">
        <v>271</v>
      </c>
      <c r="K50" s="11" t="s">
        <v>117</v>
      </c>
      <c r="L50" s="11" t="s">
        <v>280</v>
      </c>
      <c r="M50" s="11" t="s">
        <v>281</v>
      </c>
      <c r="N50" s="26">
        <v>0.35</v>
      </c>
      <c r="O50" s="26">
        <v>0.55000000000000004</v>
      </c>
      <c r="P50" s="26">
        <v>0.1</v>
      </c>
      <c r="Q50" s="4" t="s">
        <v>378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27.6">
      <c r="A51" s="11" t="s">
        <v>403</v>
      </c>
      <c r="B51" s="11" t="s">
        <v>39</v>
      </c>
      <c r="C51" s="11" t="s">
        <v>404</v>
      </c>
      <c r="D51" s="11" t="s">
        <v>405</v>
      </c>
      <c r="E51" s="11" t="s">
        <v>269</v>
      </c>
      <c r="F51" s="11" t="s">
        <v>262</v>
      </c>
      <c r="G51" s="19">
        <v>732</v>
      </c>
      <c r="H51" s="19">
        <v>909</v>
      </c>
      <c r="I51" s="19">
        <v>1350</v>
      </c>
      <c r="J51" s="11" t="s">
        <v>155</v>
      </c>
      <c r="K51" s="11" t="s">
        <v>175</v>
      </c>
      <c r="L51" s="11" t="s">
        <v>406</v>
      </c>
      <c r="M51" s="11" t="s">
        <v>407</v>
      </c>
      <c r="N51" s="26">
        <v>0.35</v>
      </c>
      <c r="O51" s="26">
        <v>0.55000000000000004</v>
      </c>
      <c r="P51" s="26">
        <v>0.1</v>
      </c>
      <c r="Q51" s="4" t="s">
        <v>408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27.6">
      <c r="A52" s="11" t="s">
        <v>409</v>
      </c>
      <c r="B52" s="11" t="s">
        <v>39</v>
      </c>
      <c r="C52" s="11" t="s">
        <v>404</v>
      </c>
      <c r="D52" s="11" t="s">
        <v>410</v>
      </c>
      <c r="E52" s="11" t="s">
        <v>288</v>
      </c>
      <c r="F52" s="11" t="s">
        <v>262</v>
      </c>
      <c r="G52" s="19">
        <v>1214</v>
      </c>
      <c r="H52" s="19">
        <v>2231</v>
      </c>
      <c r="I52" s="19">
        <v>3247</v>
      </c>
      <c r="J52" s="11" t="s">
        <v>155</v>
      </c>
      <c r="K52" s="11" t="s">
        <v>175</v>
      </c>
      <c r="L52" s="11" t="s">
        <v>411</v>
      </c>
      <c r="M52" s="11" t="s">
        <v>412</v>
      </c>
      <c r="N52" s="26">
        <v>0.35</v>
      </c>
      <c r="O52" s="26">
        <v>0.55000000000000004</v>
      </c>
      <c r="P52" s="26">
        <v>0.1</v>
      </c>
      <c r="Q52" s="4" t="s">
        <v>408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27.6">
      <c r="A53" s="11" t="s">
        <v>413</v>
      </c>
      <c r="B53" s="11" t="s">
        <v>39</v>
      </c>
      <c r="C53" s="11" t="s">
        <v>404</v>
      </c>
      <c r="D53" s="11" t="s">
        <v>414</v>
      </c>
      <c r="E53" s="11" t="s">
        <v>288</v>
      </c>
      <c r="F53" s="11" t="s">
        <v>285</v>
      </c>
      <c r="G53" s="19">
        <v>50</v>
      </c>
      <c r="H53" s="19">
        <v>100</v>
      </c>
      <c r="I53" s="19">
        <v>150</v>
      </c>
      <c r="J53" s="11" t="s">
        <v>155</v>
      </c>
      <c r="K53" s="11" t="s">
        <v>175</v>
      </c>
      <c r="L53" s="11" t="s">
        <v>411</v>
      </c>
      <c r="M53" s="11" t="s">
        <v>412</v>
      </c>
      <c r="N53" s="26">
        <v>0.35</v>
      </c>
      <c r="O53" s="26">
        <v>0.55000000000000004</v>
      </c>
      <c r="P53" s="26">
        <v>0.1</v>
      </c>
      <c r="Q53" s="4" t="s">
        <v>408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27.6">
      <c r="A54" s="11" t="s">
        <v>415</v>
      </c>
      <c r="B54" s="11" t="s">
        <v>39</v>
      </c>
      <c r="C54" s="11" t="s">
        <v>404</v>
      </c>
      <c r="D54" s="11" t="s">
        <v>416</v>
      </c>
      <c r="E54" s="11" t="s">
        <v>269</v>
      </c>
      <c r="F54" s="11" t="s">
        <v>262</v>
      </c>
      <c r="G54" s="19">
        <v>150</v>
      </c>
      <c r="H54" s="19">
        <v>978</v>
      </c>
      <c r="I54" s="19">
        <v>2500</v>
      </c>
      <c r="J54" s="11" t="s">
        <v>271</v>
      </c>
      <c r="K54" s="11" t="s">
        <v>117</v>
      </c>
      <c r="L54" s="11" t="s">
        <v>417</v>
      </c>
      <c r="M54" s="11" t="s">
        <v>412</v>
      </c>
      <c r="N54" s="26">
        <v>0.35</v>
      </c>
      <c r="O54" s="26">
        <v>0.55000000000000004</v>
      </c>
      <c r="P54" s="26">
        <v>0.1</v>
      </c>
      <c r="Q54" s="4" t="s">
        <v>408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27.6">
      <c r="A55" s="11" t="s">
        <v>418</v>
      </c>
      <c r="B55" s="11" t="s">
        <v>39</v>
      </c>
      <c r="C55" s="11" t="s">
        <v>404</v>
      </c>
      <c r="D55" s="11" t="s">
        <v>419</v>
      </c>
      <c r="E55" s="11" t="s">
        <v>288</v>
      </c>
      <c r="F55" s="11" t="s">
        <v>262</v>
      </c>
      <c r="G55" s="19">
        <v>4000</v>
      </c>
      <c r="H55" s="19">
        <v>9000</v>
      </c>
      <c r="I55" s="19">
        <v>16000</v>
      </c>
      <c r="J55" s="11" t="s">
        <v>155</v>
      </c>
      <c r="K55" s="11" t="s">
        <v>175</v>
      </c>
      <c r="L55" s="11" t="s">
        <v>280</v>
      </c>
      <c r="M55" s="11" t="s">
        <v>281</v>
      </c>
      <c r="N55" s="26">
        <v>0.35</v>
      </c>
      <c r="O55" s="26">
        <v>0.55000000000000004</v>
      </c>
      <c r="P55" s="26">
        <v>0.1</v>
      </c>
      <c r="Q55" s="4" t="s">
        <v>408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27.6">
      <c r="A56" s="11" t="s">
        <v>420</v>
      </c>
      <c r="B56" s="11" t="s">
        <v>39</v>
      </c>
      <c r="C56" s="11" t="s">
        <v>404</v>
      </c>
      <c r="D56" s="11" t="s">
        <v>421</v>
      </c>
      <c r="E56" s="11" t="s">
        <v>288</v>
      </c>
      <c r="F56" s="11" t="s">
        <v>270</v>
      </c>
      <c r="G56" s="19">
        <v>881</v>
      </c>
      <c r="H56" s="19">
        <v>1350</v>
      </c>
      <c r="I56" s="19">
        <v>1826</v>
      </c>
      <c r="J56" s="11" t="s">
        <v>155</v>
      </c>
      <c r="K56" s="11" t="s">
        <v>117</v>
      </c>
      <c r="L56" s="11" t="s">
        <v>422</v>
      </c>
      <c r="M56" s="11" t="s">
        <v>423</v>
      </c>
      <c r="N56" s="26">
        <v>0.35</v>
      </c>
      <c r="O56" s="26">
        <v>0.55000000000000004</v>
      </c>
      <c r="P56" s="26">
        <v>0.1</v>
      </c>
      <c r="Q56" s="4" t="s">
        <v>408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27.6">
      <c r="A57" s="11" t="s">
        <v>424</v>
      </c>
      <c r="B57" s="11" t="s">
        <v>39</v>
      </c>
      <c r="C57" s="11" t="s">
        <v>404</v>
      </c>
      <c r="D57" s="11" t="s">
        <v>425</v>
      </c>
      <c r="E57" s="11" t="s">
        <v>288</v>
      </c>
      <c r="F57" s="11" t="s">
        <v>270</v>
      </c>
      <c r="G57" s="19">
        <v>1400</v>
      </c>
      <c r="H57" s="19">
        <v>2500</v>
      </c>
      <c r="I57" s="19">
        <v>3900</v>
      </c>
      <c r="J57" s="11" t="s">
        <v>155</v>
      </c>
      <c r="K57" s="11" t="s">
        <v>117</v>
      </c>
      <c r="L57" s="11" t="s">
        <v>422</v>
      </c>
      <c r="M57" s="11" t="s">
        <v>423</v>
      </c>
      <c r="N57" s="26">
        <v>0.35</v>
      </c>
      <c r="O57" s="26">
        <v>0.55000000000000004</v>
      </c>
      <c r="P57" s="26">
        <v>0.1</v>
      </c>
      <c r="Q57" s="4" t="s">
        <v>408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27.6">
      <c r="A58" s="11" t="s">
        <v>426</v>
      </c>
      <c r="B58" s="11" t="s">
        <v>39</v>
      </c>
      <c r="C58" s="11" t="s">
        <v>404</v>
      </c>
      <c r="D58" s="11" t="s">
        <v>427</v>
      </c>
      <c r="E58" s="11" t="s">
        <v>261</v>
      </c>
      <c r="F58" s="11" t="s">
        <v>262</v>
      </c>
      <c r="G58" s="19">
        <v>200</v>
      </c>
      <c r="H58" s="19">
        <v>350</v>
      </c>
      <c r="I58" s="19">
        <v>600</v>
      </c>
      <c r="J58" s="11" t="s">
        <v>161</v>
      </c>
      <c r="K58" s="11" t="s">
        <v>117</v>
      </c>
      <c r="L58" s="11" t="s">
        <v>280</v>
      </c>
      <c r="M58" s="11" t="s">
        <v>281</v>
      </c>
      <c r="N58" s="26">
        <v>0</v>
      </c>
      <c r="O58" s="26">
        <v>0</v>
      </c>
      <c r="P58" s="26">
        <v>1</v>
      </c>
      <c r="Q58" s="4" t="s">
        <v>265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27.6">
      <c r="A59" s="11" t="s">
        <v>193</v>
      </c>
      <c r="B59" s="11" t="s">
        <v>39</v>
      </c>
      <c r="C59" s="11" t="s">
        <v>404</v>
      </c>
      <c r="D59" s="11" t="s">
        <v>428</v>
      </c>
      <c r="E59" s="11" t="s">
        <v>269</v>
      </c>
      <c r="F59" s="11" t="s">
        <v>262</v>
      </c>
      <c r="G59" s="19">
        <v>1500</v>
      </c>
      <c r="H59" s="19">
        <v>5000</v>
      </c>
      <c r="I59" s="19">
        <v>12000</v>
      </c>
      <c r="J59" s="11" t="s">
        <v>155</v>
      </c>
      <c r="K59" s="11" t="s">
        <v>175</v>
      </c>
      <c r="L59" s="11" t="s">
        <v>280</v>
      </c>
      <c r="M59" s="11" t="s">
        <v>281</v>
      </c>
      <c r="N59" s="26">
        <v>0.35</v>
      </c>
      <c r="O59" s="26">
        <v>0.55000000000000004</v>
      </c>
      <c r="P59" s="26">
        <v>0.1</v>
      </c>
      <c r="Q59" s="4" t="s">
        <v>408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27.6">
      <c r="A60" s="11" t="s">
        <v>429</v>
      </c>
      <c r="B60" s="11" t="s">
        <v>39</v>
      </c>
      <c r="C60" s="11" t="s">
        <v>404</v>
      </c>
      <c r="D60" s="11" t="s">
        <v>430</v>
      </c>
      <c r="E60" s="11" t="s">
        <v>288</v>
      </c>
      <c r="F60" s="11" t="s">
        <v>262</v>
      </c>
      <c r="G60" s="19">
        <v>5000</v>
      </c>
      <c r="H60" s="19">
        <v>10000</v>
      </c>
      <c r="I60" s="19">
        <v>20000</v>
      </c>
      <c r="J60" s="11" t="s">
        <v>155</v>
      </c>
      <c r="K60" s="11" t="s">
        <v>175</v>
      </c>
      <c r="L60" s="11" t="s">
        <v>280</v>
      </c>
      <c r="M60" s="11" t="s">
        <v>281</v>
      </c>
      <c r="N60" s="26">
        <v>0.35</v>
      </c>
      <c r="O60" s="26">
        <v>0.55000000000000004</v>
      </c>
      <c r="P60" s="26">
        <v>0.1</v>
      </c>
      <c r="Q60" s="4" t="s">
        <v>408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27.6">
      <c r="A61" s="11" t="s">
        <v>431</v>
      </c>
      <c r="B61" s="11" t="s">
        <v>39</v>
      </c>
      <c r="C61" s="11" t="s">
        <v>404</v>
      </c>
      <c r="D61" s="11" t="s">
        <v>432</v>
      </c>
      <c r="E61" s="11" t="s">
        <v>288</v>
      </c>
      <c r="F61" s="11" t="s">
        <v>270</v>
      </c>
      <c r="G61" s="19">
        <v>150</v>
      </c>
      <c r="H61" s="19">
        <v>236</v>
      </c>
      <c r="I61" s="19">
        <v>670</v>
      </c>
      <c r="J61" s="11" t="s">
        <v>161</v>
      </c>
      <c r="K61" s="11" t="s">
        <v>115</v>
      </c>
      <c r="L61" s="11" t="s">
        <v>433</v>
      </c>
      <c r="M61" s="11" t="s">
        <v>434</v>
      </c>
      <c r="N61" s="26">
        <v>0.35</v>
      </c>
      <c r="O61" s="26">
        <v>0.55000000000000004</v>
      </c>
      <c r="P61" s="26">
        <v>0.1</v>
      </c>
      <c r="Q61" s="4" t="s">
        <v>408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27.6">
      <c r="A62" s="11" t="s">
        <v>435</v>
      </c>
      <c r="B62" s="11" t="s">
        <v>39</v>
      </c>
      <c r="C62" s="11" t="s">
        <v>404</v>
      </c>
      <c r="D62" s="11" t="s">
        <v>436</v>
      </c>
      <c r="E62" s="11" t="s">
        <v>288</v>
      </c>
      <c r="F62" s="11" t="s">
        <v>270</v>
      </c>
      <c r="G62" s="19">
        <v>250</v>
      </c>
      <c r="H62" s="19">
        <v>500</v>
      </c>
      <c r="I62" s="19">
        <v>900</v>
      </c>
      <c r="J62" s="11" t="s">
        <v>161</v>
      </c>
      <c r="K62" s="11" t="s">
        <v>160</v>
      </c>
      <c r="L62" s="11" t="s">
        <v>280</v>
      </c>
      <c r="M62" s="11" t="s">
        <v>281</v>
      </c>
      <c r="N62" s="26">
        <v>0.35</v>
      </c>
      <c r="O62" s="26">
        <v>0.55000000000000004</v>
      </c>
      <c r="P62" s="26">
        <v>0.1</v>
      </c>
      <c r="Q62" s="4" t="s">
        <v>408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27.6">
      <c r="A63" s="11" t="s">
        <v>437</v>
      </c>
      <c r="B63" s="11" t="s">
        <v>39</v>
      </c>
      <c r="C63" s="11" t="s">
        <v>404</v>
      </c>
      <c r="D63" s="11" t="s">
        <v>438</v>
      </c>
      <c r="E63" s="11" t="s">
        <v>288</v>
      </c>
      <c r="F63" s="11" t="s">
        <v>270</v>
      </c>
      <c r="G63" s="19">
        <v>300</v>
      </c>
      <c r="H63" s="19">
        <v>700</v>
      </c>
      <c r="I63" s="19">
        <v>1500</v>
      </c>
      <c r="J63" s="11" t="s">
        <v>161</v>
      </c>
      <c r="K63" s="11" t="s">
        <v>115</v>
      </c>
      <c r="L63" s="11" t="s">
        <v>280</v>
      </c>
      <c r="M63" s="11" t="s">
        <v>281</v>
      </c>
      <c r="N63" s="26">
        <v>0.35</v>
      </c>
      <c r="O63" s="26">
        <v>0.55000000000000004</v>
      </c>
      <c r="P63" s="26">
        <v>0.1</v>
      </c>
      <c r="Q63" s="4" t="s">
        <v>408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27.6">
      <c r="A64" s="11" t="s">
        <v>439</v>
      </c>
      <c r="B64" s="11" t="s">
        <v>39</v>
      </c>
      <c r="C64" s="11" t="s">
        <v>404</v>
      </c>
      <c r="D64" s="11" t="s">
        <v>440</v>
      </c>
      <c r="E64" s="11" t="s">
        <v>288</v>
      </c>
      <c r="F64" s="11" t="s">
        <v>270</v>
      </c>
      <c r="G64" s="19">
        <v>250</v>
      </c>
      <c r="H64" s="19">
        <v>450</v>
      </c>
      <c r="I64" s="19">
        <v>700</v>
      </c>
      <c r="J64" s="11" t="s">
        <v>161</v>
      </c>
      <c r="K64" s="11" t="s">
        <v>115</v>
      </c>
      <c r="L64" s="11" t="s">
        <v>280</v>
      </c>
      <c r="M64" s="11" t="s">
        <v>281</v>
      </c>
      <c r="N64" s="26">
        <v>0.35</v>
      </c>
      <c r="O64" s="26">
        <v>0.55000000000000004</v>
      </c>
      <c r="P64" s="26">
        <v>0.1</v>
      </c>
      <c r="Q64" s="4" t="s">
        <v>408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27.6">
      <c r="A65" s="11" t="s">
        <v>441</v>
      </c>
      <c r="B65" s="11" t="s">
        <v>39</v>
      </c>
      <c r="C65" s="11" t="s">
        <v>404</v>
      </c>
      <c r="D65" s="11" t="s">
        <v>442</v>
      </c>
      <c r="E65" s="11" t="s">
        <v>288</v>
      </c>
      <c r="F65" s="11" t="s">
        <v>270</v>
      </c>
      <c r="G65" s="19">
        <v>375</v>
      </c>
      <c r="H65" s="19">
        <v>500</v>
      </c>
      <c r="I65" s="19">
        <v>600</v>
      </c>
      <c r="J65" s="11" t="s">
        <v>271</v>
      </c>
      <c r="K65" s="11" t="s">
        <v>117</v>
      </c>
      <c r="L65" s="11" t="s">
        <v>443</v>
      </c>
      <c r="M65" s="11" t="s">
        <v>444</v>
      </c>
      <c r="N65" s="26">
        <v>0.35</v>
      </c>
      <c r="O65" s="26">
        <v>0.55000000000000004</v>
      </c>
      <c r="P65" s="26">
        <v>0.1</v>
      </c>
      <c r="Q65" s="4" t="s">
        <v>408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27.6">
      <c r="A66" s="11" t="s">
        <v>445</v>
      </c>
      <c r="B66" s="11" t="s">
        <v>39</v>
      </c>
      <c r="C66" s="11" t="s">
        <v>404</v>
      </c>
      <c r="D66" s="11" t="s">
        <v>446</v>
      </c>
      <c r="E66" s="11" t="s">
        <v>269</v>
      </c>
      <c r="F66" s="11" t="s">
        <v>270</v>
      </c>
      <c r="G66" s="19">
        <v>150</v>
      </c>
      <c r="H66" s="19">
        <v>300</v>
      </c>
      <c r="I66" s="19">
        <v>650</v>
      </c>
      <c r="J66" s="11" t="s">
        <v>161</v>
      </c>
      <c r="K66" s="11" t="s">
        <v>160</v>
      </c>
      <c r="L66" s="11" t="s">
        <v>280</v>
      </c>
      <c r="M66" s="11" t="s">
        <v>281</v>
      </c>
      <c r="N66" s="26">
        <v>0.35</v>
      </c>
      <c r="O66" s="26">
        <v>0.55000000000000004</v>
      </c>
      <c r="P66" s="26">
        <v>0.1</v>
      </c>
      <c r="Q66" s="4" t="s">
        <v>408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27.6">
      <c r="A67" s="11" t="s">
        <v>447</v>
      </c>
      <c r="B67" s="11" t="s">
        <v>39</v>
      </c>
      <c r="C67" s="11" t="s">
        <v>404</v>
      </c>
      <c r="D67" s="11" t="s">
        <v>448</v>
      </c>
      <c r="E67" s="11" t="s">
        <v>325</v>
      </c>
      <c r="F67" s="11" t="s">
        <v>262</v>
      </c>
      <c r="G67" s="19">
        <v>800</v>
      </c>
      <c r="H67" s="19">
        <v>1800</v>
      </c>
      <c r="I67" s="19">
        <v>4000</v>
      </c>
      <c r="J67" s="11" t="s">
        <v>271</v>
      </c>
      <c r="K67" s="11" t="s">
        <v>160</v>
      </c>
      <c r="L67" s="11" t="s">
        <v>280</v>
      </c>
      <c r="M67" s="11" t="s">
        <v>281</v>
      </c>
      <c r="N67" s="26">
        <v>0.35</v>
      </c>
      <c r="O67" s="26">
        <v>0.55000000000000004</v>
      </c>
      <c r="P67" s="26">
        <v>0.1</v>
      </c>
      <c r="Q67" s="4" t="s">
        <v>408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27.6">
      <c r="A68" s="11" t="s">
        <v>449</v>
      </c>
      <c r="B68" s="11" t="s">
        <v>39</v>
      </c>
      <c r="C68" s="11" t="s">
        <v>404</v>
      </c>
      <c r="D68" s="11" t="s">
        <v>450</v>
      </c>
      <c r="E68" s="11" t="s">
        <v>325</v>
      </c>
      <c r="F68" s="11" t="s">
        <v>451</v>
      </c>
      <c r="G68" s="19">
        <v>3000</v>
      </c>
      <c r="H68" s="19">
        <v>8500</v>
      </c>
      <c r="I68" s="19">
        <v>20000</v>
      </c>
      <c r="J68" s="11" t="s">
        <v>155</v>
      </c>
      <c r="K68" s="11" t="s">
        <v>117</v>
      </c>
      <c r="L68" s="11" t="s">
        <v>280</v>
      </c>
      <c r="M68" s="11" t="s">
        <v>281</v>
      </c>
      <c r="N68" s="26">
        <v>0.35</v>
      </c>
      <c r="O68" s="26">
        <v>0.55000000000000004</v>
      </c>
      <c r="P68" s="26">
        <v>0.1</v>
      </c>
      <c r="Q68" s="4" t="s">
        <v>408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27.6">
      <c r="A69" s="11" t="s">
        <v>452</v>
      </c>
      <c r="B69" s="11" t="s">
        <v>39</v>
      </c>
      <c r="C69" s="11" t="s">
        <v>453</v>
      </c>
      <c r="D69" s="11" t="s">
        <v>454</v>
      </c>
      <c r="E69" s="11" t="s">
        <v>269</v>
      </c>
      <c r="F69" s="11" t="s">
        <v>262</v>
      </c>
      <c r="G69" s="19">
        <v>627</v>
      </c>
      <c r="H69" s="19">
        <v>1500</v>
      </c>
      <c r="I69" s="19">
        <v>3040</v>
      </c>
      <c r="J69" s="11" t="s">
        <v>155</v>
      </c>
      <c r="K69" s="11" t="s">
        <v>175</v>
      </c>
      <c r="L69" s="11" t="s">
        <v>455</v>
      </c>
      <c r="M69" s="11" t="s">
        <v>456</v>
      </c>
      <c r="N69" s="26">
        <v>0.35</v>
      </c>
      <c r="O69" s="26">
        <v>0.55000000000000004</v>
      </c>
      <c r="P69" s="26">
        <v>0.1</v>
      </c>
      <c r="Q69" s="4" t="s">
        <v>408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27.6">
      <c r="A70" s="11" t="s">
        <v>200</v>
      </c>
      <c r="B70" s="11" t="s">
        <v>34</v>
      </c>
      <c r="C70" s="11" t="s">
        <v>34</v>
      </c>
      <c r="D70" s="11" t="s">
        <v>457</v>
      </c>
      <c r="E70" s="11" t="s">
        <v>288</v>
      </c>
      <c r="F70" s="11" t="s">
        <v>262</v>
      </c>
      <c r="G70" s="19">
        <v>4755</v>
      </c>
      <c r="H70" s="19">
        <v>7133</v>
      </c>
      <c r="I70" s="19">
        <v>11888</v>
      </c>
      <c r="J70" s="11" t="s">
        <v>155</v>
      </c>
      <c r="K70" s="11" t="s">
        <v>175</v>
      </c>
      <c r="L70" s="11" t="s">
        <v>458</v>
      </c>
      <c r="M70" s="11" t="s">
        <v>459</v>
      </c>
      <c r="N70" s="26">
        <v>0.45</v>
      </c>
      <c r="O70" s="26">
        <v>0.45</v>
      </c>
      <c r="P70" s="26">
        <v>0.1</v>
      </c>
      <c r="Q70" s="4" t="s">
        <v>460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27.6">
      <c r="A71" s="11" t="s">
        <v>461</v>
      </c>
      <c r="B71" s="11" t="s">
        <v>34</v>
      </c>
      <c r="C71" s="11" t="s">
        <v>34</v>
      </c>
      <c r="D71" s="11" t="s">
        <v>462</v>
      </c>
      <c r="E71" s="11" t="s">
        <v>288</v>
      </c>
      <c r="F71" s="11" t="s">
        <v>262</v>
      </c>
      <c r="G71" s="19">
        <v>2689</v>
      </c>
      <c r="H71" s="19">
        <v>4335</v>
      </c>
      <c r="I71" s="19">
        <v>6386</v>
      </c>
      <c r="J71" s="11" t="s">
        <v>155</v>
      </c>
      <c r="K71" s="11" t="s">
        <v>117</v>
      </c>
      <c r="L71" s="11" t="s">
        <v>458</v>
      </c>
      <c r="M71" s="11" t="s">
        <v>459</v>
      </c>
      <c r="N71" s="26">
        <v>0.45</v>
      </c>
      <c r="O71" s="26">
        <v>0.45</v>
      </c>
      <c r="P71" s="26">
        <v>0.1</v>
      </c>
      <c r="Q71" s="4" t="s">
        <v>460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11" t="s">
        <v>463</v>
      </c>
      <c r="B72" s="11" t="s">
        <v>34</v>
      </c>
      <c r="C72" s="11" t="s">
        <v>34</v>
      </c>
      <c r="D72" s="11" t="s">
        <v>464</v>
      </c>
      <c r="E72" s="11" t="s">
        <v>269</v>
      </c>
      <c r="F72" s="11" t="s">
        <v>262</v>
      </c>
      <c r="G72" s="19">
        <v>113</v>
      </c>
      <c r="H72" s="19">
        <v>238</v>
      </c>
      <c r="I72" s="19">
        <v>364</v>
      </c>
      <c r="J72" s="11" t="s">
        <v>161</v>
      </c>
      <c r="K72" s="11" t="s">
        <v>117</v>
      </c>
      <c r="L72" s="11" t="s">
        <v>465</v>
      </c>
      <c r="M72" s="11" t="s">
        <v>466</v>
      </c>
      <c r="N72" s="26">
        <v>0.45</v>
      </c>
      <c r="O72" s="26">
        <v>0.45</v>
      </c>
      <c r="P72" s="26">
        <v>0.1</v>
      </c>
      <c r="Q72" s="4" t="s">
        <v>460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11" t="s">
        <v>467</v>
      </c>
      <c r="B73" s="11" t="s">
        <v>34</v>
      </c>
      <c r="C73" s="11" t="s">
        <v>34</v>
      </c>
      <c r="D73" s="11" t="s">
        <v>468</v>
      </c>
      <c r="E73" s="11" t="s">
        <v>269</v>
      </c>
      <c r="F73" s="11" t="s">
        <v>262</v>
      </c>
      <c r="G73" s="19">
        <v>100</v>
      </c>
      <c r="H73" s="19">
        <v>350</v>
      </c>
      <c r="I73" s="19">
        <v>3000</v>
      </c>
      <c r="J73" s="11" t="s">
        <v>161</v>
      </c>
      <c r="K73" s="11" t="s">
        <v>117</v>
      </c>
      <c r="L73" s="11" t="s">
        <v>465</v>
      </c>
      <c r="M73" s="11" t="s">
        <v>466</v>
      </c>
      <c r="N73" s="26">
        <v>0.45</v>
      </c>
      <c r="O73" s="26">
        <v>0.45</v>
      </c>
      <c r="P73" s="26">
        <v>0.1</v>
      </c>
      <c r="Q73" s="4" t="s">
        <v>460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27.6">
      <c r="A74" s="11" t="s">
        <v>469</v>
      </c>
      <c r="B74" s="11" t="s">
        <v>34</v>
      </c>
      <c r="C74" s="11" t="s">
        <v>34</v>
      </c>
      <c r="D74" s="11" t="s">
        <v>470</v>
      </c>
      <c r="E74" s="11" t="s">
        <v>269</v>
      </c>
      <c r="F74" s="11" t="s">
        <v>262</v>
      </c>
      <c r="G74" s="19">
        <v>500</v>
      </c>
      <c r="H74" s="19">
        <v>1500</v>
      </c>
      <c r="I74" s="19">
        <v>4300</v>
      </c>
      <c r="J74" s="11" t="s">
        <v>271</v>
      </c>
      <c r="K74" s="11" t="s">
        <v>160</v>
      </c>
      <c r="L74" s="11" t="s">
        <v>471</v>
      </c>
      <c r="M74" s="11" t="s">
        <v>466</v>
      </c>
      <c r="N74" s="26">
        <v>0.45</v>
      </c>
      <c r="O74" s="26">
        <v>0.45</v>
      </c>
      <c r="P74" s="26">
        <v>0.1</v>
      </c>
      <c r="Q74" s="4" t="s">
        <v>460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27.6">
      <c r="A75" s="11" t="s">
        <v>472</v>
      </c>
      <c r="B75" s="11" t="s">
        <v>34</v>
      </c>
      <c r="C75" s="11" t="s">
        <v>34</v>
      </c>
      <c r="D75" s="11" t="s">
        <v>473</v>
      </c>
      <c r="E75" s="11" t="s">
        <v>288</v>
      </c>
      <c r="F75" s="11" t="s">
        <v>270</v>
      </c>
      <c r="G75" s="19">
        <v>150</v>
      </c>
      <c r="H75" s="19">
        <v>350</v>
      </c>
      <c r="I75" s="19">
        <v>700</v>
      </c>
      <c r="J75" s="11" t="s">
        <v>161</v>
      </c>
      <c r="K75" s="11" t="s">
        <v>115</v>
      </c>
      <c r="L75" s="11" t="s">
        <v>471</v>
      </c>
      <c r="M75" s="11" t="s">
        <v>466</v>
      </c>
      <c r="N75" s="26">
        <v>0.45</v>
      </c>
      <c r="O75" s="26">
        <v>0.45</v>
      </c>
      <c r="P75" s="26">
        <v>0.1</v>
      </c>
      <c r="Q75" s="4" t="s">
        <v>460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27.6">
      <c r="A76" s="11" t="s">
        <v>474</v>
      </c>
      <c r="B76" s="11" t="s">
        <v>34</v>
      </c>
      <c r="C76" s="11" t="s">
        <v>34</v>
      </c>
      <c r="D76" s="11" t="s">
        <v>475</v>
      </c>
      <c r="E76" s="11" t="s">
        <v>269</v>
      </c>
      <c r="F76" s="11" t="s">
        <v>270</v>
      </c>
      <c r="G76" s="19">
        <v>300</v>
      </c>
      <c r="H76" s="19">
        <v>700</v>
      </c>
      <c r="I76" s="19">
        <v>1500</v>
      </c>
      <c r="J76" s="11" t="s">
        <v>271</v>
      </c>
      <c r="K76" s="11" t="s">
        <v>160</v>
      </c>
      <c r="L76" s="11" t="s">
        <v>471</v>
      </c>
      <c r="M76" s="11" t="s">
        <v>466</v>
      </c>
      <c r="N76" s="26">
        <v>0.45</v>
      </c>
      <c r="O76" s="26">
        <v>0.45</v>
      </c>
      <c r="P76" s="26">
        <v>0.1</v>
      </c>
      <c r="Q76" s="4" t="s">
        <v>460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27.6">
      <c r="A77" s="11" t="s">
        <v>476</v>
      </c>
      <c r="B77" s="11" t="s">
        <v>34</v>
      </c>
      <c r="C77" s="11" t="s">
        <v>34</v>
      </c>
      <c r="D77" s="11" t="s">
        <v>477</v>
      </c>
      <c r="E77" s="11" t="s">
        <v>269</v>
      </c>
      <c r="F77" s="11" t="s">
        <v>262</v>
      </c>
      <c r="G77" s="19">
        <v>1000</v>
      </c>
      <c r="H77" s="19">
        <v>5000</v>
      </c>
      <c r="I77" s="19">
        <v>12000</v>
      </c>
      <c r="J77" s="11" t="s">
        <v>155</v>
      </c>
      <c r="K77" s="11" t="s">
        <v>117</v>
      </c>
      <c r="L77" s="11" t="s">
        <v>471</v>
      </c>
      <c r="M77" s="11" t="s">
        <v>466</v>
      </c>
      <c r="N77" s="26">
        <v>0.45</v>
      </c>
      <c r="O77" s="26">
        <v>0.45</v>
      </c>
      <c r="P77" s="26">
        <v>0.1</v>
      </c>
      <c r="Q77" s="4" t="s">
        <v>460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27.6">
      <c r="A78" s="11" t="s">
        <v>478</v>
      </c>
      <c r="B78" s="11" t="s">
        <v>36</v>
      </c>
      <c r="C78" s="11" t="s">
        <v>479</v>
      </c>
      <c r="D78" s="11" t="s">
        <v>480</v>
      </c>
      <c r="E78" s="11" t="s">
        <v>288</v>
      </c>
      <c r="F78" s="11" t="s">
        <v>298</v>
      </c>
      <c r="G78" s="19">
        <v>2</v>
      </c>
      <c r="H78" s="19">
        <v>3.5</v>
      </c>
      <c r="I78" s="19">
        <v>6</v>
      </c>
      <c r="J78" s="11" t="s">
        <v>161</v>
      </c>
      <c r="K78" s="11" t="s">
        <v>160</v>
      </c>
      <c r="L78" s="11" t="s">
        <v>280</v>
      </c>
      <c r="M78" s="11" t="s">
        <v>281</v>
      </c>
      <c r="N78" s="26">
        <v>0.4</v>
      </c>
      <c r="O78" s="26">
        <v>0.5</v>
      </c>
      <c r="P78" s="26">
        <v>0.1</v>
      </c>
      <c r="Q78" s="4" t="s">
        <v>357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27.6">
      <c r="A79" s="11" t="s">
        <v>481</v>
      </c>
      <c r="B79" s="11" t="s">
        <v>36</v>
      </c>
      <c r="C79" s="11" t="s">
        <v>479</v>
      </c>
      <c r="D79" s="11" t="s">
        <v>482</v>
      </c>
      <c r="E79" s="11" t="s">
        <v>269</v>
      </c>
      <c r="F79" s="11" t="s">
        <v>262</v>
      </c>
      <c r="G79" s="19">
        <v>150</v>
      </c>
      <c r="H79" s="19">
        <v>400</v>
      </c>
      <c r="I79" s="19">
        <v>1000</v>
      </c>
      <c r="J79" s="11" t="s">
        <v>161</v>
      </c>
      <c r="K79" s="11" t="s">
        <v>160</v>
      </c>
      <c r="L79" s="11" t="s">
        <v>280</v>
      </c>
      <c r="M79" s="11" t="s">
        <v>281</v>
      </c>
      <c r="N79" s="26">
        <v>0.4</v>
      </c>
      <c r="O79" s="26">
        <v>0.5</v>
      </c>
      <c r="P79" s="26">
        <v>0.1</v>
      </c>
      <c r="Q79" s="4" t="s">
        <v>357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27.6">
      <c r="A80" s="11" t="s">
        <v>483</v>
      </c>
      <c r="B80" s="11" t="s">
        <v>36</v>
      </c>
      <c r="C80" s="11" t="s">
        <v>337</v>
      </c>
      <c r="D80" s="11" t="s">
        <v>484</v>
      </c>
      <c r="E80" s="11" t="s">
        <v>325</v>
      </c>
      <c r="F80" s="11" t="s">
        <v>485</v>
      </c>
      <c r="G80" s="19">
        <v>290</v>
      </c>
      <c r="H80" s="19">
        <v>500</v>
      </c>
      <c r="I80" s="19">
        <v>725</v>
      </c>
      <c r="J80" s="11" t="s">
        <v>161</v>
      </c>
      <c r="K80" s="11" t="s">
        <v>115</v>
      </c>
      <c r="L80" s="11" t="s">
        <v>486</v>
      </c>
      <c r="M80" s="11" t="s">
        <v>390</v>
      </c>
      <c r="N80" s="26">
        <v>0.25</v>
      </c>
      <c r="O80" s="26">
        <v>0.7</v>
      </c>
      <c r="P80" s="26">
        <v>0.05</v>
      </c>
      <c r="Q80" s="4" t="s">
        <v>341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27.6">
      <c r="A81" s="11" t="s">
        <v>205</v>
      </c>
      <c r="B81" s="11" t="s">
        <v>36</v>
      </c>
      <c r="C81" s="11" t="s">
        <v>337</v>
      </c>
      <c r="D81" s="11" t="s">
        <v>487</v>
      </c>
      <c r="E81" s="11" t="s">
        <v>325</v>
      </c>
      <c r="F81" s="11" t="s">
        <v>298</v>
      </c>
      <c r="G81" s="19">
        <v>1.5</v>
      </c>
      <c r="H81" s="19">
        <v>3</v>
      </c>
      <c r="I81" s="19">
        <v>5</v>
      </c>
      <c r="J81" s="11" t="s">
        <v>161</v>
      </c>
      <c r="K81" s="11" t="s">
        <v>115</v>
      </c>
      <c r="L81" s="11" t="s">
        <v>389</v>
      </c>
      <c r="M81" s="11" t="s">
        <v>390</v>
      </c>
      <c r="N81" s="26">
        <v>0.25</v>
      </c>
      <c r="O81" s="26">
        <v>0.7</v>
      </c>
      <c r="P81" s="26">
        <v>0.05</v>
      </c>
      <c r="Q81" s="4" t="s">
        <v>341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27.6">
      <c r="A82" s="11" t="s">
        <v>488</v>
      </c>
      <c r="B82" s="11" t="s">
        <v>36</v>
      </c>
      <c r="C82" s="11" t="s">
        <v>278</v>
      </c>
      <c r="D82" s="11" t="s">
        <v>489</v>
      </c>
      <c r="E82" s="11" t="s">
        <v>288</v>
      </c>
      <c r="F82" s="11" t="s">
        <v>285</v>
      </c>
      <c r="G82" s="19">
        <v>4</v>
      </c>
      <c r="H82" s="19">
        <v>8</v>
      </c>
      <c r="I82" s="19">
        <v>15</v>
      </c>
      <c r="J82" s="11" t="s">
        <v>161</v>
      </c>
      <c r="K82" s="11" t="s">
        <v>115</v>
      </c>
      <c r="L82" s="11" t="s">
        <v>280</v>
      </c>
      <c r="M82" s="11" t="s">
        <v>281</v>
      </c>
      <c r="N82" s="26">
        <v>0.45</v>
      </c>
      <c r="O82" s="26">
        <v>0.45</v>
      </c>
      <c r="P82" s="26">
        <v>0.1</v>
      </c>
      <c r="Q82" s="4" t="s">
        <v>282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27.6">
      <c r="A83" s="11" t="s">
        <v>490</v>
      </c>
      <c r="B83" s="11" t="s">
        <v>36</v>
      </c>
      <c r="C83" s="11" t="s">
        <v>278</v>
      </c>
      <c r="D83" s="11" t="s">
        <v>491</v>
      </c>
      <c r="E83" s="11" t="s">
        <v>288</v>
      </c>
      <c r="F83" s="11" t="s">
        <v>270</v>
      </c>
      <c r="G83" s="19">
        <v>360</v>
      </c>
      <c r="H83" s="19">
        <v>700</v>
      </c>
      <c r="I83" s="19">
        <v>1200</v>
      </c>
      <c r="J83" s="11" t="s">
        <v>161</v>
      </c>
      <c r="K83" s="11" t="s">
        <v>115</v>
      </c>
      <c r="L83" s="11" t="s">
        <v>486</v>
      </c>
      <c r="M83" s="11" t="s">
        <v>390</v>
      </c>
      <c r="N83" s="26">
        <v>0.45</v>
      </c>
      <c r="O83" s="26">
        <v>0.45</v>
      </c>
      <c r="P83" s="26">
        <v>0.1</v>
      </c>
      <c r="Q83" s="4" t="s">
        <v>282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27.6">
      <c r="A84" s="11" t="s">
        <v>492</v>
      </c>
      <c r="B84" s="11" t="s">
        <v>36</v>
      </c>
      <c r="C84" s="11" t="s">
        <v>278</v>
      </c>
      <c r="D84" s="11" t="s">
        <v>493</v>
      </c>
      <c r="E84" s="11" t="s">
        <v>288</v>
      </c>
      <c r="F84" s="11" t="s">
        <v>270</v>
      </c>
      <c r="G84" s="19">
        <v>200</v>
      </c>
      <c r="H84" s="19">
        <v>450</v>
      </c>
      <c r="I84" s="19">
        <v>800</v>
      </c>
      <c r="J84" s="11" t="s">
        <v>161</v>
      </c>
      <c r="K84" s="11" t="s">
        <v>115</v>
      </c>
      <c r="L84" s="11" t="s">
        <v>280</v>
      </c>
      <c r="M84" s="11" t="s">
        <v>281</v>
      </c>
      <c r="N84" s="26">
        <v>0.45</v>
      </c>
      <c r="O84" s="26">
        <v>0.45</v>
      </c>
      <c r="P84" s="26">
        <v>0.1</v>
      </c>
      <c r="Q84" s="4" t="s">
        <v>282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27.6">
      <c r="A85" s="11" t="s">
        <v>494</v>
      </c>
      <c r="B85" s="11" t="s">
        <v>36</v>
      </c>
      <c r="C85" s="11" t="s">
        <v>495</v>
      </c>
      <c r="D85" s="11" t="s">
        <v>496</v>
      </c>
      <c r="E85" s="11" t="s">
        <v>325</v>
      </c>
      <c r="F85" s="11" t="s">
        <v>270</v>
      </c>
      <c r="G85" s="19">
        <v>50</v>
      </c>
      <c r="H85" s="19">
        <v>100</v>
      </c>
      <c r="I85" s="19">
        <v>250</v>
      </c>
      <c r="J85" s="11" t="s">
        <v>161</v>
      </c>
      <c r="K85" s="11" t="s">
        <v>115</v>
      </c>
      <c r="L85" s="11" t="s">
        <v>280</v>
      </c>
      <c r="M85" s="11" t="s">
        <v>281</v>
      </c>
      <c r="N85" s="26">
        <v>0.35</v>
      </c>
      <c r="O85" s="26">
        <v>0.6</v>
      </c>
      <c r="P85" s="26">
        <v>0.05</v>
      </c>
      <c r="Q85" s="4" t="s">
        <v>497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27.6">
      <c r="A86" s="11" t="s">
        <v>498</v>
      </c>
      <c r="B86" s="11" t="s">
        <v>36</v>
      </c>
      <c r="C86" s="11" t="s">
        <v>278</v>
      </c>
      <c r="D86" s="11" t="s">
        <v>499</v>
      </c>
      <c r="E86" s="11" t="s">
        <v>269</v>
      </c>
      <c r="F86" s="11" t="s">
        <v>262</v>
      </c>
      <c r="G86" s="19">
        <v>300</v>
      </c>
      <c r="H86" s="19">
        <v>1200</v>
      </c>
      <c r="I86" s="19">
        <v>4000</v>
      </c>
      <c r="J86" s="11" t="s">
        <v>271</v>
      </c>
      <c r="K86" s="11" t="s">
        <v>117</v>
      </c>
      <c r="L86" s="11" t="s">
        <v>280</v>
      </c>
      <c r="M86" s="11" t="s">
        <v>281</v>
      </c>
      <c r="N86" s="26">
        <v>0.45</v>
      </c>
      <c r="O86" s="26">
        <v>0.45</v>
      </c>
      <c r="P86" s="26">
        <v>0.1</v>
      </c>
      <c r="Q86" s="4" t="s">
        <v>282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27.6">
      <c r="A87" s="11" t="s">
        <v>500</v>
      </c>
      <c r="B87" s="11" t="s">
        <v>36</v>
      </c>
      <c r="C87" s="11" t="s">
        <v>278</v>
      </c>
      <c r="D87" s="11" t="s">
        <v>501</v>
      </c>
      <c r="E87" s="11" t="s">
        <v>325</v>
      </c>
      <c r="F87" s="11" t="s">
        <v>485</v>
      </c>
      <c r="G87" s="19">
        <v>300</v>
      </c>
      <c r="H87" s="19">
        <v>700</v>
      </c>
      <c r="I87" s="19">
        <v>1500</v>
      </c>
      <c r="J87" s="11" t="s">
        <v>161</v>
      </c>
      <c r="K87" s="11" t="s">
        <v>115</v>
      </c>
      <c r="L87" s="11" t="s">
        <v>389</v>
      </c>
      <c r="M87" s="11" t="s">
        <v>390</v>
      </c>
      <c r="N87" s="26">
        <v>0.45</v>
      </c>
      <c r="O87" s="26">
        <v>0.45</v>
      </c>
      <c r="P87" s="26">
        <v>0.1</v>
      </c>
      <c r="Q87" s="4" t="s">
        <v>282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27.6">
      <c r="A88" s="11" t="s">
        <v>502</v>
      </c>
      <c r="B88" s="11" t="s">
        <v>36</v>
      </c>
      <c r="C88" s="11" t="s">
        <v>503</v>
      </c>
      <c r="D88" s="11" t="s">
        <v>504</v>
      </c>
      <c r="E88" s="11" t="s">
        <v>325</v>
      </c>
      <c r="F88" s="11" t="s">
        <v>505</v>
      </c>
      <c r="G88" s="19">
        <v>50</v>
      </c>
      <c r="H88" s="19">
        <v>120</v>
      </c>
      <c r="I88" s="19">
        <v>300</v>
      </c>
      <c r="J88" s="11" t="s">
        <v>161</v>
      </c>
      <c r="K88" s="11" t="s">
        <v>115</v>
      </c>
      <c r="L88" s="11" t="s">
        <v>280</v>
      </c>
      <c r="M88" s="11" t="s">
        <v>281</v>
      </c>
      <c r="N88" s="26">
        <v>0.45</v>
      </c>
      <c r="O88" s="26">
        <v>0.45</v>
      </c>
      <c r="P88" s="26">
        <v>0.1</v>
      </c>
      <c r="Q88" s="4" t="s">
        <v>282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27.6">
      <c r="A89" s="11" t="s">
        <v>506</v>
      </c>
      <c r="B89" s="11" t="s">
        <v>36</v>
      </c>
      <c r="C89" s="11" t="s">
        <v>370</v>
      </c>
      <c r="D89" s="11" t="s">
        <v>507</v>
      </c>
      <c r="E89" s="11" t="s">
        <v>325</v>
      </c>
      <c r="F89" s="11" t="s">
        <v>262</v>
      </c>
      <c r="G89" s="19">
        <v>300</v>
      </c>
      <c r="H89" s="19">
        <v>600</v>
      </c>
      <c r="I89" s="19">
        <v>1200</v>
      </c>
      <c r="J89" s="11" t="s">
        <v>161</v>
      </c>
      <c r="K89" s="11" t="s">
        <v>115</v>
      </c>
      <c r="L89" s="11" t="s">
        <v>280</v>
      </c>
      <c r="M89" s="11" t="s">
        <v>281</v>
      </c>
      <c r="N89" s="26">
        <v>0.05</v>
      </c>
      <c r="O89" s="26">
        <v>0.9</v>
      </c>
      <c r="P89" s="26">
        <v>0.05</v>
      </c>
      <c r="Q89" s="4" t="s">
        <v>372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27.6">
      <c r="A90" s="11" t="s">
        <v>212</v>
      </c>
      <c r="B90" s="11" t="s">
        <v>32</v>
      </c>
      <c r="C90" s="11" t="s">
        <v>32</v>
      </c>
      <c r="D90" s="11" t="s">
        <v>508</v>
      </c>
      <c r="E90" s="11" t="s">
        <v>325</v>
      </c>
      <c r="F90" s="11" t="s">
        <v>298</v>
      </c>
      <c r="G90" s="19">
        <v>3</v>
      </c>
      <c r="H90" s="19">
        <v>6</v>
      </c>
      <c r="I90" s="19">
        <v>10</v>
      </c>
      <c r="J90" s="11" t="s">
        <v>161</v>
      </c>
      <c r="K90" s="11" t="s">
        <v>115</v>
      </c>
      <c r="L90" s="11" t="s">
        <v>509</v>
      </c>
      <c r="M90" s="11" t="s">
        <v>510</v>
      </c>
      <c r="N90" s="26">
        <v>0.45</v>
      </c>
      <c r="O90" s="26">
        <v>0.5</v>
      </c>
      <c r="P90" s="26">
        <v>0.05</v>
      </c>
      <c r="Q90" s="4" t="s">
        <v>511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27.6">
      <c r="A91" s="11" t="s">
        <v>512</v>
      </c>
      <c r="B91" s="11" t="s">
        <v>32</v>
      </c>
      <c r="C91" s="11" t="s">
        <v>32</v>
      </c>
      <c r="D91" s="11" t="s">
        <v>513</v>
      </c>
      <c r="E91" s="11" t="s">
        <v>325</v>
      </c>
      <c r="F91" s="11" t="s">
        <v>298</v>
      </c>
      <c r="G91" s="19">
        <v>2</v>
      </c>
      <c r="H91" s="19">
        <v>5</v>
      </c>
      <c r="I91" s="19">
        <v>8</v>
      </c>
      <c r="J91" s="11" t="s">
        <v>161</v>
      </c>
      <c r="K91" s="11" t="s">
        <v>115</v>
      </c>
      <c r="L91" s="11" t="s">
        <v>509</v>
      </c>
      <c r="M91" s="11" t="s">
        <v>510</v>
      </c>
      <c r="N91" s="26">
        <v>0.45</v>
      </c>
      <c r="O91" s="26">
        <v>0.5</v>
      </c>
      <c r="P91" s="26">
        <v>0.05</v>
      </c>
      <c r="Q91" s="4" t="s">
        <v>511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27.6">
      <c r="A92" s="11" t="s">
        <v>514</v>
      </c>
      <c r="B92" s="11" t="s">
        <v>32</v>
      </c>
      <c r="C92" s="11" t="s">
        <v>515</v>
      </c>
      <c r="D92" s="11" t="s">
        <v>516</v>
      </c>
      <c r="E92" s="11" t="s">
        <v>325</v>
      </c>
      <c r="F92" s="11" t="s">
        <v>298</v>
      </c>
      <c r="G92" s="19">
        <v>5</v>
      </c>
      <c r="H92" s="19">
        <v>12</v>
      </c>
      <c r="I92" s="19">
        <v>25</v>
      </c>
      <c r="J92" s="11" t="s">
        <v>161</v>
      </c>
      <c r="K92" s="11" t="s">
        <v>115</v>
      </c>
      <c r="L92" s="11" t="s">
        <v>509</v>
      </c>
      <c r="M92" s="11" t="s">
        <v>510</v>
      </c>
      <c r="N92" s="26">
        <v>0.45</v>
      </c>
      <c r="O92" s="26">
        <v>0.5</v>
      </c>
      <c r="P92" s="26">
        <v>0.05</v>
      </c>
      <c r="Q92" s="4" t="s">
        <v>511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27.6">
      <c r="A93" s="11" t="s">
        <v>517</v>
      </c>
      <c r="B93" s="11" t="s">
        <v>32</v>
      </c>
      <c r="C93" s="11" t="s">
        <v>32</v>
      </c>
      <c r="D93" s="11" t="s">
        <v>518</v>
      </c>
      <c r="E93" s="11" t="s">
        <v>325</v>
      </c>
      <c r="F93" s="11" t="s">
        <v>298</v>
      </c>
      <c r="G93" s="19">
        <v>8</v>
      </c>
      <c r="H93" s="19">
        <v>15</v>
      </c>
      <c r="I93" s="19">
        <v>25</v>
      </c>
      <c r="J93" s="11" t="s">
        <v>161</v>
      </c>
      <c r="K93" s="11" t="s">
        <v>115</v>
      </c>
      <c r="L93" s="11" t="s">
        <v>519</v>
      </c>
      <c r="M93" s="11" t="s">
        <v>510</v>
      </c>
      <c r="N93" s="26">
        <v>0.45</v>
      </c>
      <c r="O93" s="26">
        <v>0.5</v>
      </c>
      <c r="P93" s="26">
        <v>0.05</v>
      </c>
      <c r="Q93" s="4" t="s">
        <v>511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27.6">
      <c r="A94" s="11" t="s">
        <v>520</v>
      </c>
      <c r="B94" s="11" t="s">
        <v>32</v>
      </c>
      <c r="C94" s="11" t="s">
        <v>32</v>
      </c>
      <c r="D94" s="11" t="s">
        <v>521</v>
      </c>
      <c r="E94" s="11" t="s">
        <v>325</v>
      </c>
      <c r="F94" s="11" t="s">
        <v>262</v>
      </c>
      <c r="G94" s="19">
        <v>1100</v>
      </c>
      <c r="H94" s="19">
        <v>1900</v>
      </c>
      <c r="I94" s="19">
        <v>2700</v>
      </c>
      <c r="J94" s="11" t="s">
        <v>161</v>
      </c>
      <c r="K94" s="11" t="s">
        <v>115</v>
      </c>
      <c r="L94" s="11" t="s">
        <v>486</v>
      </c>
      <c r="M94" s="11" t="s">
        <v>390</v>
      </c>
      <c r="N94" s="26">
        <v>0.45</v>
      </c>
      <c r="O94" s="26">
        <v>0.5</v>
      </c>
      <c r="P94" s="26">
        <v>0.05</v>
      </c>
      <c r="Q94" s="4" t="s">
        <v>511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27.6">
      <c r="A95" s="11" t="s">
        <v>522</v>
      </c>
      <c r="B95" s="11" t="s">
        <v>32</v>
      </c>
      <c r="C95" s="11" t="s">
        <v>32</v>
      </c>
      <c r="D95" s="11" t="s">
        <v>523</v>
      </c>
      <c r="E95" s="11" t="s">
        <v>269</v>
      </c>
      <c r="F95" s="11" t="s">
        <v>298</v>
      </c>
      <c r="G95" s="19">
        <v>1.5</v>
      </c>
      <c r="H95" s="19">
        <v>2.5</v>
      </c>
      <c r="I95" s="19">
        <v>4</v>
      </c>
      <c r="J95" s="11" t="s">
        <v>161</v>
      </c>
      <c r="K95" s="11" t="s">
        <v>115</v>
      </c>
      <c r="L95" s="11" t="s">
        <v>509</v>
      </c>
      <c r="M95" s="11" t="s">
        <v>510</v>
      </c>
      <c r="N95" s="26">
        <v>0.45</v>
      </c>
      <c r="O95" s="26">
        <v>0.5</v>
      </c>
      <c r="P95" s="26">
        <v>0.05</v>
      </c>
      <c r="Q95" s="4" t="s">
        <v>511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27.6">
      <c r="A96" s="11" t="s">
        <v>524</v>
      </c>
      <c r="B96" s="11" t="s">
        <v>32</v>
      </c>
      <c r="C96" s="11" t="s">
        <v>278</v>
      </c>
      <c r="D96" s="11" t="s">
        <v>525</v>
      </c>
      <c r="E96" s="11" t="s">
        <v>269</v>
      </c>
      <c r="F96" s="11" t="s">
        <v>298</v>
      </c>
      <c r="G96" s="19">
        <v>4</v>
      </c>
      <c r="H96" s="19">
        <v>8</v>
      </c>
      <c r="I96" s="19">
        <v>15</v>
      </c>
      <c r="J96" s="11" t="s">
        <v>271</v>
      </c>
      <c r="K96" s="11" t="s">
        <v>117</v>
      </c>
      <c r="L96" s="11" t="s">
        <v>519</v>
      </c>
      <c r="M96" s="11" t="s">
        <v>510</v>
      </c>
      <c r="N96" s="26">
        <v>0.45</v>
      </c>
      <c r="O96" s="26">
        <v>0.45</v>
      </c>
      <c r="P96" s="26">
        <v>0.1</v>
      </c>
      <c r="Q96" s="4" t="s">
        <v>282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27.6">
      <c r="A97" s="11" t="s">
        <v>526</v>
      </c>
      <c r="B97" s="11" t="s">
        <v>32</v>
      </c>
      <c r="C97" s="11" t="s">
        <v>32</v>
      </c>
      <c r="D97" s="11" t="s">
        <v>527</v>
      </c>
      <c r="E97" s="11" t="s">
        <v>269</v>
      </c>
      <c r="F97" s="11" t="s">
        <v>298</v>
      </c>
      <c r="G97" s="19">
        <v>2</v>
      </c>
      <c r="H97" s="19">
        <v>5</v>
      </c>
      <c r="I97" s="19">
        <v>10</v>
      </c>
      <c r="J97" s="11" t="s">
        <v>161</v>
      </c>
      <c r="K97" s="11" t="s">
        <v>160</v>
      </c>
      <c r="L97" s="11" t="s">
        <v>519</v>
      </c>
      <c r="M97" s="11" t="s">
        <v>510</v>
      </c>
      <c r="N97" s="26">
        <v>0.45</v>
      </c>
      <c r="O97" s="26">
        <v>0.5</v>
      </c>
      <c r="P97" s="26">
        <v>0.05</v>
      </c>
      <c r="Q97" s="4" t="s">
        <v>511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27.6">
      <c r="A98" s="11" t="s">
        <v>218</v>
      </c>
      <c r="B98" s="11" t="s">
        <v>38</v>
      </c>
      <c r="C98" s="11" t="s">
        <v>528</v>
      </c>
      <c r="D98" s="11" t="s">
        <v>529</v>
      </c>
      <c r="E98" s="11" t="s">
        <v>325</v>
      </c>
      <c r="F98" s="11" t="s">
        <v>262</v>
      </c>
      <c r="G98" s="19">
        <v>13800</v>
      </c>
      <c r="H98" s="19">
        <v>26000</v>
      </c>
      <c r="I98" s="19">
        <v>38600</v>
      </c>
      <c r="J98" s="11" t="s">
        <v>271</v>
      </c>
      <c r="K98" s="11" t="s">
        <v>160</v>
      </c>
      <c r="L98" s="11" t="s">
        <v>530</v>
      </c>
      <c r="M98" s="11" t="s">
        <v>281</v>
      </c>
      <c r="N98" s="26">
        <v>0.45</v>
      </c>
      <c r="O98" s="26">
        <v>0.45</v>
      </c>
      <c r="P98" s="26">
        <v>0.1</v>
      </c>
      <c r="Q98" s="4" t="s">
        <v>531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27.6">
      <c r="A99" s="11" t="s">
        <v>532</v>
      </c>
      <c r="B99" s="11" t="s">
        <v>38</v>
      </c>
      <c r="C99" s="11" t="s">
        <v>337</v>
      </c>
      <c r="D99" s="11" t="s">
        <v>533</v>
      </c>
      <c r="E99" s="11" t="s">
        <v>325</v>
      </c>
      <c r="F99" s="11" t="s">
        <v>285</v>
      </c>
      <c r="G99" s="19">
        <v>30</v>
      </c>
      <c r="H99" s="19">
        <v>45</v>
      </c>
      <c r="I99" s="19">
        <v>60</v>
      </c>
      <c r="J99" s="11" t="s">
        <v>161</v>
      </c>
      <c r="K99" s="11" t="s">
        <v>115</v>
      </c>
      <c r="L99" s="11" t="s">
        <v>534</v>
      </c>
      <c r="M99" s="11" t="s">
        <v>535</v>
      </c>
      <c r="N99" s="26">
        <v>0.25</v>
      </c>
      <c r="O99" s="26">
        <v>0.7</v>
      </c>
      <c r="P99" s="26">
        <v>0.05</v>
      </c>
      <c r="Q99" s="4" t="s">
        <v>341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27.6">
      <c r="A100" s="11" t="s">
        <v>536</v>
      </c>
      <c r="B100" s="11" t="s">
        <v>38</v>
      </c>
      <c r="C100" s="11" t="s">
        <v>537</v>
      </c>
      <c r="D100" s="11" t="s">
        <v>538</v>
      </c>
      <c r="E100" s="11" t="s">
        <v>325</v>
      </c>
      <c r="F100" s="11" t="s">
        <v>285</v>
      </c>
      <c r="G100" s="19">
        <v>250</v>
      </c>
      <c r="H100" s="19">
        <v>500</v>
      </c>
      <c r="I100" s="19">
        <v>900</v>
      </c>
      <c r="J100" s="11" t="s">
        <v>161</v>
      </c>
      <c r="K100" s="11" t="s">
        <v>115</v>
      </c>
      <c r="L100" s="11" t="s">
        <v>280</v>
      </c>
      <c r="M100" s="11" t="s">
        <v>281</v>
      </c>
      <c r="N100" s="26">
        <v>0.65</v>
      </c>
      <c r="O100" s="26">
        <v>0.25</v>
      </c>
      <c r="P100" s="26">
        <v>0.1</v>
      </c>
      <c r="Q100" s="4" t="s">
        <v>539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27.6">
      <c r="A101" s="11" t="s">
        <v>540</v>
      </c>
      <c r="B101" s="11" t="s">
        <v>38</v>
      </c>
      <c r="C101" s="11" t="s">
        <v>541</v>
      </c>
      <c r="D101" s="11" t="s">
        <v>542</v>
      </c>
      <c r="E101" s="11" t="s">
        <v>325</v>
      </c>
      <c r="F101" s="11" t="s">
        <v>298</v>
      </c>
      <c r="G101" s="19">
        <v>30</v>
      </c>
      <c r="H101" s="19">
        <v>50</v>
      </c>
      <c r="I101" s="19">
        <v>80</v>
      </c>
      <c r="J101" s="11" t="s">
        <v>161</v>
      </c>
      <c r="K101" s="11" t="s">
        <v>115</v>
      </c>
      <c r="L101" s="11" t="s">
        <v>280</v>
      </c>
      <c r="M101" s="11" t="s">
        <v>281</v>
      </c>
      <c r="N101" s="26">
        <v>0.65</v>
      </c>
      <c r="O101" s="26">
        <v>0.25</v>
      </c>
      <c r="P101" s="26">
        <v>0.1</v>
      </c>
      <c r="Q101" s="4" t="s">
        <v>539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27.6">
      <c r="A102" s="11" t="s">
        <v>543</v>
      </c>
      <c r="B102" s="11" t="s">
        <v>38</v>
      </c>
      <c r="C102" s="11" t="s">
        <v>541</v>
      </c>
      <c r="D102" s="11" t="s">
        <v>544</v>
      </c>
      <c r="E102" s="11" t="s">
        <v>325</v>
      </c>
      <c r="F102" s="11" t="s">
        <v>298</v>
      </c>
      <c r="G102" s="19">
        <v>60</v>
      </c>
      <c r="H102" s="19">
        <v>100</v>
      </c>
      <c r="I102" s="19">
        <v>150</v>
      </c>
      <c r="J102" s="11" t="s">
        <v>161</v>
      </c>
      <c r="K102" s="11" t="s">
        <v>115</v>
      </c>
      <c r="L102" s="11" t="s">
        <v>280</v>
      </c>
      <c r="M102" s="11" t="s">
        <v>281</v>
      </c>
      <c r="N102" s="26">
        <v>0.65</v>
      </c>
      <c r="O102" s="26">
        <v>0.25</v>
      </c>
      <c r="P102" s="26">
        <v>0.1</v>
      </c>
      <c r="Q102" s="4" t="s">
        <v>539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27.6">
      <c r="A103" s="11" t="s">
        <v>545</v>
      </c>
      <c r="B103" s="11" t="s">
        <v>38</v>
      </c>
      <c r="C103" s="11" t="s">
        <v>541</v>
      </c>
      <c r="D103" s="11" t="s">
        <v>546</v>
      </c>
      <c r="E103" s="11" t="s">
        <v>325</v>
      </c>
      <c r="F103" s="11" t="s">
        <v>298</v>
      </c>
      <c r="G103" s="19">
        <v>50</v>
      </c>
      <c r="H103" s="19">
        <v>85</v>
      </c>
      <c r="I103" s="19">
        <v>130</v>
      </c>
      <c r="J103" s="11" t="s">
        <v>161</v>
      </c>
      <c r="K103" s="11" t="s">
        <v>115</v>
      </c>
      <c r="L103" s="11" t="s">
        <v>280</v>
      </c>
      <c r="M103" s="11" t="s">
        <v>281</v>
      </c>
      <c r="N103" s="26">
        <v>0.65</v>
      </c>
      <c r="O103" s="26">
        <v>0.25</v>
      </c>
      <c r="P103" s="26">
        <v>0.1</v>
      </c>
      <c r="Q103" s="4" t="s">
        <v>539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27.6">
      <c r="A104" s="11" t="s">
        <v>547</v>
      </c>
      <c r="B104" s="11" t="s">
        <v>38</v>
      </c>
      <c r="C104" s="11" t="s">
        <v>515</v>
      </c>
      <c r="D104" s="11" t="s">
        <v>548</v>
      </c>
      <c r="E104" s="11" t="s">
        <v>325</v>
      </c>
      <c r="F104" s="11" t="s">
        <v>298</v>
      </c>
      <c r="G104" s="19">
        <v>15</v>
      </c>
      <c r="H104" s="19">
        <v>30</v>
      </c>
      <c r="I104" s="19">
        <v>60</v>
      </c>
      <c r="J104" s="11" t="s">
        <v>161</v>
      </c>
      <c r="K104" s="11" t="s">
        <v>115</v>
      </c>
      <c r="L104" s="11" t="s">
        <v>280</v>
      </c>
      <c r="M104" s="11" t="s">
        <v>281</v>
      </c>
      <c r="N104" s="26">
        <v>0.45</v>
      </c>
      <c r="O104" s="26">
        <v>0.5</v>
      </c>
      <c r="P104" s="26">
        <v>0.05</v>
      </c>
      <c r="Q104" s="4" t="s">
        <v>511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27.6">
      <c r="A105" s="11" t="s">
        <v>549</v>
      </c>
      <c r="B105" s="11" t="s">
        <v>38</v>
      </c>
      <c r="C105" s="11" t="s">
        <v>404</v>
      </c>
      <c r="D105" s="11" t="s">
        <v>550</v>
      </c>
      <c r="E105" s="11" t="s">
        <v>325</v>
      </c>
      <c r="F105" s="11" t="s">
        <v>270</v>
      </c>
      <c r="G105" s="19">
        <v>300</v>
      </c>
      <c r="H105" s="19">
        <v>700</v>
      </c>
      <c r="I105" s="19">
        <v>1500</v>
      </c>
      <c r="J105" s="11" t="s">
        <v>161</v>
      </c>
      <c r="K105" s="11" t="s">
        <v>115</v>
      </c>
      <c r="L105" s="11" t="s">
        <v>280</v>
      </c>
      <c r="M105" s="11" t="s">
        <v>281</v>
      </c>
      <c r="N105" s="26">
        <v>0.35</v>
      </c>
      <c r="O105" s="26">
        <v>0.55000000000000004</v>
      </c>
      <c r="P105" s="26">
        <v>0.1</v>
      </c>
      <c r="Q105" s="4" t="s">
        <v>408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27.6">
      <c r="A106" s="11" t="s">
        <v>551</v>
      </c>
      <c r="B106" s="11" t="s">
        <v>38</v>
      </c>
      <c r="C106" s="11" t="s">
        <v>552</v>
      </c>
      <c r="D106" s="11" t="s">
        <v>553</v>
      </c>
      <c r="E106" s="11" t="s">
        <v>325</v>
      </c>
      <c r="F106" s="11" t="s">
        <v>554</v>
      </c>
      <c r="G106" s="19">
        <v>2500</v>
      </c>
      <c r="H106" s="19">
        <v>5000</v>
      </c>
      <c r="I106" s="19">
        <v>9000</v>
      </c>
      <c r="J106" s="11" t="s">
        <v>161</v>
      </c>
      <c r="K106" s="11" t="s">
        <v>115</v>
      </c>
      <c r="L106" s="11" t="s">
        <v>280</v>
      </c>
      <c r="M106" s="11" t="s">
        <v>281</v>
      </c>
      <c r="N106" s="26">
        <v>0.65</v>
      </c>
      <c r="O106" s="26">
        <v>0.25</v>
      </c>
      <c r="P106" s="26">
        <v>0.1</v>
      </c>
      <c r="Q106" s="4" t="s">
        <v>539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27.6">
      <c r="A107" s="11" t="s">
        <v>555</v>
      </c>
      <c r="B107" s="11" t="s">
        <v>38</v>
      </c>
      <c r="C107" s="11" t="s">
        <v>556</v>
      </c>
      <c r="D107" s="11" t="s">
        <v>557</v>
      </c>
      <c r="E107" s="11" t="s">
        <v>325</v>
      </c>
      <c r="F107" s="11" t="s">
        <v>270</v>
      </c>
      <c r="G107" s="19">
        <v>300</v>
      </c>
      <c r="H107" s="19">
        <v>700</v>
      </c>
      <c r="I107" s="19">
        <v>1500</v>
      </c>
      <c r="J107" s="11" t="s">
        <v>271</v>
      </c>
      <c r="K107" s="11" t="s">
        <v>160</v>
      </c>
      <c r="L107" s="11" t="s">
        <v>280</v>
      </c>
      <c r="M107" s="11" t="s">
        <v>281</v>
      </c>
      <c r="N107" s="26">
        <v>0.35</v>
      </c>
      <c r="O107" s="26">
        <v>0.55000000000000004</v>
      </c>
      <c r="P107" s="26">
        <v>0.1</v>
      </c>
      <c r="Q107" s="4" t="s">
        <v>378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27.6">
      <c r="A108" s="11" t="s">
        <v>558</v>
      </c>
      <c r="B108" s="11" t="s">
        <v>38</v>
      </c>
      <c r="C108" s="11" t="s">
        <v>376</v>
      </c>
      <c r="D108" s="11" t="s">
        <v>559</v>
      </c>
      <c r="E108" s="11" t="s">
        <v>325</v>
      </c>
      <c r="F108" s="11" t="s">
        <v>262</v>
      </c>
      <c r="G108" s="19">
        <v>500</v>
      </c>
      <c r="H108" s="19">
        <v>1500</v>
      </c>
      <c r="I108" s="19">
        <v>3000</v>
      </c>
      <c r="J108" s="11" t="s">
        <v>271</v>
      </c>
      <c r="K108" s="11" t="s">
        <v>115</v>
      </c>
      <c r="L108" s="11" t="s">
        <v>280</v>
      </c>
      <c r="M108" s="11" t="s">
        <v>281</v>
      </c>
      <c r="N108" s="26">
        <v>0.35</v>
      </c>
      <c r="O108" s="26">
        <v>0.55000000000000004</v>
      </c>
      <c r="P108" s="26">
        <v>0.1</v>
      </c>
      <c r="Q108" s="4" t="s">
        <v>378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27.6">
      <c r="A109" s="11" t="s">
        <v>560</v>
      </c>
      <c r="B109" s="11" t="s">
        <v>38</v>
      </c>
      <c r="C109" s="11" t="s">
        <v>278</v>
      </c>
      <c r="D109" s="11" t="s">
        <v>561</v>
      </c>
      <c r="E109" s="11" t="s">
        <v>325</v>
      </c>
      <c r="F109" s="11" t="s">
        <v>270</v>
      </c>
      <c r="G109" s="19">
        <v>1500</v>
      </c>
      <c r="H109" s="19">
        <v>4000</v>
      </c>
      <c r="I109" s="19">
        <v>8000</v>
      </c>
      <c r="J109" s="11" t="s">
        <v>271</v>
      </c>
      <c r="K109" s="11" t="s">
        <v>115</v>
      </c>
      <c r="L109" s="11" t="s">
        <v>280</v>
      </c>
      <c r="M109" s="11" t="s">
        <v>281</v>
      </c>
      <c r="N109" s="26">
        <v>0.45</v>
      </c>
      <c r="O109" s="26">
        <v>0.45</v>
      </c>
      <c r="P109" s="26">
        <v>0.1</v>
      </c>
      <c r="Q109" s="4" t="s">
        <v>282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27.6">
      <c r="A110" s="11" t="s">
        <v>223</v>
      </c>
      <c r="B110" s="11" t="s">
        <v>26</v>
      </c>
      <c r="C110" s="11" t="s">
        <v>528</v>
      </c>
      <c r="D110" s="11" t="s">
        <v>562</v>
      </c>
      <c r="E110" s="11" t="s">
        <v>325</v>
      </c>
      <c r="F110" s="11" t="s">
        <v>451</v>
      </c>
      <c r="G110" s="19">
        <v>6423</v>
      </c>
      <c r="H110" s="19">
        <v>11246</v>
      </c>
      <c r="I110" s="19">
        <v>16519</v>
      </c>
      <c r="J110" s="11" t="s">
        <v>271</v>
      </c>
      <c r="K110" s="11" t="s">
        <v>160</v>
      </c>
      <c r="L110" s="11" t="s">
        <v>563</v>
      </c>
      <c r="M110" s="11" t="s">
        <v>564</v>
      </c>
      <c r="N110" s="26">
        <v>0.45</v>
      </c>
      <c r="O110" s="26">
        <v>0.45</v>
      </c>
      <c r="P110" s="26">
        <v>0.1</v>
      </c>
      <c r="Q110" s="4" t="s">
        <v>531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27.6">
      <c r="A111" s="11" t="s">
        <v>565</v>
      </c>
      <c r="B111" s="11" t="s">
        <v>26</v>
      </c>
      <c r="C111" s="11" t="s">
        <v>404</v>
      </c>
      <c r="D111" s="11" t="s">
        <v>566</v>
      </c>
      <c r="E111" s="11" t="s">
        <v>288</v>
      </c>
      <c r="F111" s="11" t="s">
        <v>270</v>
      </c>
      <c r="G111" s="19">
        <v>325</v>
      </c>
      <c r="H111" s="19">
        <v>971</v>
      </c>
      <c r="I111" s="19">
        <v>1900</v>
      </c>
      <c r="J111" s="11" t="s">
        <v>271</v>
      </c>
      <c r="K111" s="11" t="s">
        <v>160</v>
      </c>
      <c r="L111" s="11" t="s">
        <v>563</v>
      </c>
      <c r="M111" s="11" t="s">
        <v>564</v>
      </c>
      <c r="N111" s="26">
        <v>0.35</v>
      </c>
      <c r="O111" s="26">
        <v>0.55000000000000004</v>
      </c>
      <c r="P111" s="26">
        <v>0.1</v>
      </c>
      <c r="Q111" s="4" t="s">
        <v>408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27.6">
      <c r="A112" s="11" t="s">
        <v>567</v>
      </c>
      <c r="B112" s="11" t="s">
        <v>26</v>
      </c>
      <c r="C112" s="11" t="s">
        <v>568</v>
      </c>
      <c r="D112" s="11" t="s">
        <v>569</v>
      </c>
      <c r="E112" s="11" t="s">
        <v>288</v>
      </c>
      <c r="F112" s="11" t="s">
        <v>270</v>
      </c>
      <c r="G112" s="19">
        <v>145</v>
      </c>
      <c r="H112" s="19">
        <v>350</v>
      </c>
      <c r="I112" s="19">
        <v>570</v>
      </c>
      <c r="J112" s="11" t="s">
        <v>271</v>
      </c>
      <c r="K112" s="11" t="s">
        <v>117</v>
      </c>
      <c r="L112" s="11" t="s">
        <v>570</v>
      </c>
      <c r="M112" s="11" t="s">
        <v>571</v>
      </c>
      <c r="N112" s="26">
        <v>0.35</v>
      </c>
      <c r="O112" s="26">
        <v>0.55000000000000004</v>
      </c>
      <c r="P112" s="26">
        <v>0.1</v>
      </c>
      <c r="Q112" s="4" t="s">
        <v>408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27.6">
      <c r="A113" s="11" t="s">
        <v>572</v>
      </c>
      <c r="B113" s="11" t="s">
        <v>26</v>
      </c>
      <c r="C113" s="11" t="s">
        <v>537</v>
      </c>
      <c r="D113" s="11" t="s">
        <v>573</v>
      </c>
      <c r="E113" s="11" t="s">
        <v>325</v>
      </c>
      <c r="F113" s="11" t="s">
        <v>270</v>
      </c>
      <c r="G113" s="19">
        <v>500</v>
      </c>
      <c r="H113" s="19">
        <v>1500</v>
      </c>
      <c r="I113" s="19">
        <v>3500</v>
      </c>
      <c r="J113" s="11" t="s">
        <v>161</v>
      </c>
      <c r="K113" s="11" t="s">
        <v>115</v>
      </c>
      <c r="L113" s="11" t="s">
        <v>574</v>
      </c>
      <c r="M113" s="11" t="s">
        <v>564</v>
      </c>
      <c r="N113" s="26">
        <v>0.65</v>
      </c>
      <c r="O113" s="26">
        <v>0.25</v>
      </c>
      <c r="P113" s="26">
        <v>0.1</v>
      </c>
      <c r="Q113" s="4" t="s">
        <v>539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27.6">
      <c r="A114" s="11" t="s">
        <v>575</v>
      </c>
      <c r="B114" s="11" t="s">
        <v>26</v>
      </c>
      <c r="C114" s="11" t="s">
        <v>515</v>
      </c>
      <c r="D114" s="11" t="s">
        <v>576</v>
      </c>
      <c r="E114" s="11" t="s">
        <v>325</v>
      </c>
      <c r="F114" s="11" t="s">
        <v>298</v>
      </c>
      <c r="G114" s="19">
        <v>20</v>
      </c>
      <c r="H114" s="19">
        <v>60</v>
      </c>
      <c r="I114" s="19">
        <v>120</v>
      </c>
      <c r="J114" s="11" t="s">
        <v>161</v>
      </c>
      <c r="K114" s="11" t="s">
        <v>160</v>
      </c>
      <c r="L114" s="11" t="s">
        <v>574</v>
      </c>
      <c r="M114" s="11" t="s">
        <v>564</v>
      </c>
      <c r="N114" s="26">
        <v>0.45</v>
      </c>
      <c r="O114" s="26">
        <v>0.5</v>
      </c>
      <c r="P114" s="26">
        <v>0.05</v>
      </c>
      <c r="Q114" s="4" t="s">
        <v>511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27.6">
      <c r="A115" s="11" t="s">
        <v>577</v>
      </c>
      <c r="B115" s="11" t="s">
        <v>26</v>
      </c>
      <c r="C115" s="11" t="s">
        <v>404</v>
      </c>
      <c r="D115" s="11" t="s">
        <v>578</v>
      </c>
      <c r="E115" s="11" t="s">
        <v>288</v>
      </c>
      <c r="F115" s="11" t="s">
        <v>270</v>
      </c>
      <c r="G115" s="19">
        <v>150</v>
      </c>
      <c r="H115" s="19">
        <v>300</v>
      </c>
      <c r="I115" s="19">
        <v>650</v>
      </c>
      <c r="J115" s="11" t="s">
        <v>161</v>
      </c>
      <c r="K115" s="11" t="s">
        <v>115</v>
      </c>
      <c r="L115" s="11" t="s">
        <v>579</v>
      </c>
      <c r="M115" s="11" t="s">
        <v>434</v>
      </c>
      <c r="N115" s="26">
        <v>0.35</v>
      </c>
      <c r="O115" s="26">
        <v>0.55000000000000004</v>
      </c>
      <c r="P115" s="26">
        <v>0.1</v>
      </c>
      <c r="Q115" s="4" t="s">
        <v>408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27.6">
      <c r="A116" s="11" t="s">
        <v>580</v>
      </c>
      <c r="B116" s="11" t="s">
        <v>26</v>
      </c>
      <c r="C116" s="11" t="s">
        <v>376</v>
      </c>
      <c r="D116" s="11" t="s">
        <v>581</v>
      </c>
      <c r="E116" s="11" t="s">
        <v>288</v>
      </c>
      <c r="F116" s="11" t="s">
        <v>270</v>
      </c>
      <c r="G116" s="19">
        <v>200</v>
      </c>
      <c r="H116" s="19">
        <v>450</v>
      </c>
      <c r="I116" s="19">
        <v>800</v>
      </c>
      <c r="J116" s="11" t="s">
        <v>271</v>
      </c>
      <c r="K116" s="11" t="s">
        <v>117</v>
      </c>
      <c r="L116" s="11" t="s">
        <v>280</v>
      </c>
      <c r="M116" s="11" t="s">
        <v>281</v>
      </c>
      <c r="N116" s="26">
        <v>0.35</v>
      </c>
      <c r="O116" s="26">
        <v>0.55000000000000004</v>
      </c>
      <c r="P116" s="26">
        <v>0.1</v>
      </c>
      <c r="Q116" s="4" t="s">
        <v>378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27.6">
      <c r="A117" s="11" t="s">
        <v>582</v>
      </c>
      <c r="B117" s="11" t="s">
        <v>26</v>
      </c>
      <c r="C117" s="11" t="s">
        <v>583</v>
      </c>
      <c r="D117" s="11" t="s">
        <v>584</v>
      </c>
      <c r="E117" s="11" t="s">
        <v>325</v>
      </c>
      <c r="F117" s="11" t="s">
        <v>270</v>
      </c>
      <c r="G117" s="19">
        <v>400</v>
      </c>
      <c r="H117" s="19">
        <v>700</v>
      </c>
      <c r="I117" s="19">
        <v>1000</v>
      </c>
      <c r="J117" s="11" t="s">
        <v>161</v>
      </c>
      <c r="K117" s="11" t="s">
        <v>115</v>
      </c>
      <c r="L117" s="11" t="s">
        <v>574</v>
      </c>
      <c r="M117" s="11" t="s">
        <v>564</v>
      </c>
      <c r="N117" s="26">
        <v>0.4</v>
      </c>
      <c r="O117" s="26">
        <v>0.55000000000000004</v>
      </c>
      <c r="P117" s="26">
        <v>0.05</v>
      </c>
      <c r="Q117" s="4" t="s">
        <v>585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27.6">
      <c r="A118" s="11" t="s">
        <v>586</v>
      </c>
      <c r="B118" s="11" t="s">
        <v>26</v>
      </c>
      <c r="C118" s="11" t="s">
        <v>293</v>
      </c>
      <c r="D118" s="11" t="s">
        <v>587</v>
      </c>
      <c r="E118" s="11" t="s">
        <v>269</v>
      </c>
      <c r="F118" s="11" t="s">
        <v>262</v>
      </c>
      <c r="G118" s="19">
        <v>800</v>
      </c>
      <c r="H118" s="19">
        <v>1500</v>
      </c>
      <c r="I118" s="19">
        <v>3000</v>
      </c>
      <c r="J118" s="11" t="s">
        <v>271</v>
      </c>
      <c r="K118" s="11" t="s">
        <v>117</v>
      </c>
      <c r="L118" s="11" t="s">
        <v>574</v>
      </c>
      <c r="M118" s="11" t="s">
        <v>564</v>
      </c>
      <c r="N118" s="26">
        <v>0.45</v>
      </c>
      <c r="O118" s="26">
        <v>0.45</v>
      </c>
      <c r="P118" s="26">
        <v>0.1</v>
      </c>
      <c r="Q118" s="4" t="s">
        <v>295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27.6">
      <c r="A119" s="11" t="s">
        <v>588</v>
      </c>
      <c r="B119" s="11" t="s">
        <v>26</v>
      </c>
      <c r="C119" s="11" t="s">
        <v>583</v>
      </c>
      <c r="D119" s="11" t="s">
        <v>589</v>
      </c>
      <c r="E119" s="11" t="s">
        <v>325</v>
      </c>
      <c r="F119" s="11" t="s">
        <v>451</v>
      </c>
      <c r="G119" s="19">
        <v>250</v>
      </c>
      <c r="H119" s="19">
        <v>600</v>
      </c>
      <c r="I119" s="19">
        <v>1200</v>
      </c>
      <c r="J119" s="11" t="s">
        <v>161</v>
      </c>
      <c r="K119" s="11" t="s">
        <v>115</v>
      </c>
      <c r="L119" s="11" t="s">
        <v>574</v>
      </c>
      <c r="M119" s="11" t="s">
        <v>564</v>
      </c>
      <c r="N119" s="26">
        <v>0.4</v>
      </c>
      <c r="O119" s="26">
        <v>0.55000000000000004</v>
      </c>
      <c r="P119" s="26">
        <v>0.05</v>
      </c>
      <c r="Q119" s="4" t="s">
        <v>585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27.6">
      <c r="A120" s="11" t="s">
        <v>590</v>
      </c>
      <c r="B120" s="11" t="s">
        <v>43</v>
      </c>
      <c r="C120" s="11" t="s">
        <v>591</v>
      </c>
      <c r="D120" s="11" t="s">
        <v>592</v>
      </c>
      <c r="E120" s="11" t="s">
        <v>288</v>
      </c>
      <c r="F120" s="11" t="s">
        <v>262</v>
      </c>
      <c r="G120" s="19">
        <v>3108</v>
      </c>
      <c r="H120" s="19">
        <v>6278</v>
      </c>
      <c r="I120" s="19">
        <v>9479</v>
      </c>
      <c r="J120" s="11" t="s">
        <v>271</v>
      </c>
      <c r="K120" s="11" t="s">
        <v>160</v>
      </c>
      <c r="L120" s="11" t="s">
        <v>593</v>
      </c>
      <c r="M120" s="11" t="s">
        <v>594</v>
      </c>
      <c r="N120" s="26">
        <v>0.45</v>
      </c>
      <c r="O120" s="26">
        <v>0.45</v>
      </c>
      <c r="P120" s="26">
        <v>0.1</v>
      </c>
      <c r="Q120" s="4" t="s">
        <v>282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27.6">
      <c r="A121" s="11" t="s">
        <v>235</v>
      </c>
      <c r="B121" s="11" t="s">
        <v>43</v>
      </c>
      <c r="C121" s="11" t="s">
        <v>591</v>
      </c>
      <c r="D121" s="11" t="s">
        <v>595</v>
      </c>
      <c r="E121" s="11" t="s">
        <v>288</v>
      </c>
      <c r="F121" s="11" t="s">
        <v>270</v>
      </c>
      <c r="G121" s="19">
        <v>400</v>
      </c>
      <c r="H121" s="19">
        <v>750</v>
      </c>
      <c r="I121" s="19">
        <v>1200</v>
      </c>
      <c r="J121" s="11" t="s">
        <v>271</v>
      </c>
      <c r="K121" s="11" t="s">
        <v>160</v>
      </c>
      <c r="L121" s="11" t="s">
        <v>596</v>
      </c>
      <c r="M121" s="11" t="s">
        <v>594</v>
      </c>
      <c r="N121" s="26">
        <v>0.45</v>
      </c>
      <c r="O121" s="26">
        <v>0.45</v>
      </c>
      <c r="P121" s="26">
        <v>0.1</v>
      </c>
      <c r="Q121" s="4" t="s">
        <v>282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27.6">
      <c r="A122" s="11" t="s">
        <v>597</v>
      </c>
      <c r="B122" s="11" t="s">
        <v>43</v>
      </c>
      <c r="C122" s="11" t="s">
        <v>591</v>
      </c>
      <c r="D122" s="11" t="s">
        <v>598</v>
      </c>
      <c r="E122" s="11" t="s">
        <v>269</v>
      </c>
      <c r="F122" s="11" t="s">
        <v>270</v>
      </c>
      <c r="G122" s="19">
        <v>192</v>
      </c>
      <c r="H122" s="19">
        <v>370</v>
      </c>
      <c r="I122" s="19">
        <v>566</v>
      </c>
      <c r="J122" s="11" t="s">
        <v>161</v>
      </c>
      <c r="K122" s="11" t="s">
        <v>160</v>
      </c>
      <c r="L122" s="11" t="s">
        <v>599</v>
      </c>
      <c r="M122" s="11" t="s">
        <v>600</v>
      </c>
      <c r="N122" s="26">
        <v>0.45</v>
      </c>
      <c r="O122" s="26">
        <v>0.45</v>
      </c>
      <c r="P122" s="26">
        <v>0.1</v>
      </c>
      <c r="Q122" s="4" t="s">
        <v>282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27.6">
      <c r="A123" s="11" t="s">
        <v>601</v>
      </c>
      <c r="B123" s="11" t="s">
        <v>43</v>
      </c>
      <c r="C123" s="11" t="s">
        <v>591</v>
      </c>
      <c r="D123" s="11" t="s">
        <v>602</v>
      </c>
      <c r="E123" s="11" t="s">
        <v>325</v>
      </c>
      <c r="F123" s="11" t="s">
        <v>270</v>
      </c>
      <c r="G123" s="19">
        <v>3500</v>
      </c>
      <c r="H123" s="19">
        <v>4480</v>
      </c>
      <c r="I123" s="19">
        <v>6000</v>
      </c>
      <c r="J123" s="11" t="s">
        <v>155</v>
      </c>
      <c r="K123" s="11" t="s">
        <v>117</v>
      </c>
      <c r="L123" s="11" t="s">
        <v>603</v>
      </c>
      <c r="M123" s="11" t="s">
        <v>604</v>
      </c>
      <c r="N123" s="26">
        <v>0.45</v>
      </c>
      <c r="O123" s="26">
        <v>0.45</v>
      </c>
      <c r="P123" s="26">
        <v>0.1</v>
      </c>
      <c r="Q123" s="4" t="s">
        <v>282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27.6">
      <c r="A124" s="11" t="s">
        <v>605</v>
      </c>
      <c r="B124" s="11" t="s">
        <v>43</v>
      </c>
      <c r="C124" s="11" t="s">
        <v>278</v>
      </c>
      <c r="D124" s="11" t="s">
        <v>606</v>
      </c>
      <c r="E124" s="11" t="s">
        <v>288</v>
      </c>
      <c r="F124" s="11" t="s">
        <v>270</v>
      </c>
      <c r="G124" s="19">
        <v>800</v>
      </c>
      <c r="H124" s="19">
        <v>1800</v>
      </c>
      <c r="I124" s="19">
        <v>3500</v>
      </c>
      <c r="J124" s="11" t="s">
        <v>271</v>
      </c>
      <c r="K124" s="11" t="s">
        <v>160</v>
      </c>
      <c r="L124" s="11" t="s">
        <v>280</v>
      </c>
      <c r="M124" s="11" t="s">
        <v>281</v>
      </c>
      <c r="N124" s="26">
        <v>0.45</v>
      </c>
      <c r="O124" s="26">
        <v>0.45</v>
      </c>
      <c r="P124" s="26">
        <v>0.1</v>
      </c>
      <c r="Q124" s="4" t="s">
        <v>282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27.6">
      <c r="A125" s="11" t="s">
        <v>607</v>
      </c>
      <c r="B125" s="11" t="s">
        <v>43</v>
      </c>
      <c r="C125" s="11" t="s">
        <v>608</v>
      </c>
      <c r="D125" s="11" t="s">
        <v>609</v>
      </c>
      <c r="E125" s="11" t="s">
        <v>288</v>
      </c>
      <c r="F125" s="11" t="s">
        <v>270</v>
      </c>
      <c r="G125" s="19">
        <v>1200</v>
      </c>
      <c r="H125" s="19">
        <v>2200</v>
      </c>
      <c r="I125" s="19">
        <v>4000</v>
      </c>
      <c r="J125" s="11" t="s">
        <v>271</v>
      </c>
      <c r="K125" s="11" t="s">
        <v>160</v>
      </c>
      <c r="L125" s="11" t="s">
        <v>280</v>
      </c>
      <c r="M125" s="11" t="s">
        <v>281</v>
      </c>
      <c r="N125" s="26">
        <v>0.45</v>
      </c>
      <c r="O125" s="26">
        <v>0.45</v>
      </c>
      <c r="P125" s="26">
        <v>0.1</v>
      </c>
      <c r="Q125" s="4" t="s">
        <v>282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27.6">
      <c r="A126" s="11" t="s">
        <v>610</v>
      </c>
      <c r="B126" s="11" t="s">
        <v>43</v>
      </c>
      <c r="C126" s="11" t="s">
        <v>608</v>
      </c>
      <c r="D126" s="11" t="s">
        <v>611</v>
      </c>
      <c r="E126" s="11" t="s">
        <v>288</v>
      </c>
      <c r="F126" s="11" t="s">
        <v>270</v>
      </c>
      <c r="G126" s="19">
        <v>300</v>
      </c>
      <c r="H126" s="19">
        <v>600</v>
      </c>
      <c r="I126" s="19">
        <v>1000</v>
      </c>
      <c r="J126" s="11" t="s">
        <v>161</v>
      </c>
      <c r="K126" s="11" t="s">
        <v>115</v>
      </c>
      <c r="L126" s="11" t="s">
        <v>280</v>
      </c>
      <c r="M126" s="11" t="s">
        <v>281</v>
      </c>
      <c r="N126" s="26">
        <v>0.45</v>
      </c>
      <c r="O126" s="26">
        <v>0.45</v>
      </c>
      <c r="P126" s="26">
        <v>0.1</v>
      </c>
      <c r="Q126" s="4" t="s">
        <v>282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27.6">
      <c r="A127" s="11" t="s">
        <v>612</v>
      </c>
      <c r="B127" s="11" t="s">
        <v>43</v>
      </c>
      <c r="C127" s="11" t="s">
        <v>495</v>
      </c>
      <c r="D127" s="11" t="s">
        <v>613</v>
      </c>
      <c r="E127" s="11" t="s">
        <v>269</v>
      </c>
      <c r="F127" s="11" t="s">
        <v>614</v>
      </c>
      <c r="G127" s="19">
        <v>100</v>
      </c>
      <c r="H127" s="19">
        <v>250</v>
      </c>
      <c r="I127" s="19">
        <v>500</v>
      </c>
      <c r="J127" s="11" t="s">
        <v>161</v>
      </c>
      <c r="K127" s="11" t="s">
        <v>115</v>
      </c>
      <c r="L127" s="11" t="s">
        <v>280</v>
      </c>
      <c r="M127" s="11" t="s">
        <v>281</v>
      </c>
      <c r="N127" s="26">
        <v>0.35</v>
      </c>
      <c r="O127" s="26">
        <v>0.6</v>
      </c>
      <c r="P127" s="26">
        <v>0.05</v>
      </c>
      <c r="Q127" s="4" t="s">
        <v>497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27.6">
      <c r="A128" s="11" t="s">
        <v>615</v>
      </c>
      <c r="B128" s="11" t="s">
        <v>43</v>
      </c>
      <c r="C128" s="11" t="s">
        <v>616</v>
      </c>
      <c r="D128" s="11" t="s">
        <v>617</v>
      </c>
      <c r="E128" s="11" t="s">
        <v>288</v>
      </c>
      <c r="F128" s="11" t="s">
        <v>614</v>
      </c>
      <c r="G128" s="19">
        <v>100</v>
      </c>
      <c r="H128" s="19">
        <v>200</v>
      </c>
      <c r="I128" s="19">
        <v>400</v>
      </c>
      <c r="J128" s="11" t="s">
        <v>161</v>
      </c>
      <c r="K128" s="11" t="s">
        <v>160</v>
      </c>
      <c r="L128" s="11" t="s">
        <v>280</v>
      </c>
      <c r="M128" s="11" t="s">
        <v>281</v>
      </c>
      <c r="N128" s="26">
        <v>0.35</v>
      </c>
      <c r="O128" s="26">
        <v>0.6</v>
      </c>
      <c r="P128" s="26">
        <v>0.05</v>
      </c>
      <c r="Q128" s="4" t="s">
        <v>497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27.6">
      <c r="A129" s="11" t="s">
        <v>618</v>
      </c>
      <c r="B129" s="11" t="s">
        <v>43</v>
      </c>
      <c r="C129" s="11" t="s">
        <v>619</v>
      </c>
      <c r="D129" s="11" t="s">
        <v>620</v>
      </c>
      <c r="E129" s="11" t="s">
        <v>269</v>
      </c>
      <c r="F129" s="11" t="s">
        <v>262</v>
      </c>
      <c r="G129" s="19">
        <v>500</v>
      </c>
      <c r="H129" s="19">
        <v>1500</v>
      </c>
      <c r="I129" s="19">
        <v>4000</v>
      </c>
      <c r="J129" s="11" t="s">
        <v>271</v>
      </c>
      <c r="K129" s="11" t="s">
        <v>117</v>
      </c>
      <c r="L129" s="11" t="s">
        <v>280</v>
      </c>
      <c r="M129" s="11" t="s">
        <v>281</v>
      </c>
      <c r="N129" s="26">
        <v>0.45</v>
      </c>
      <c r="O129" s="26">
        <v>0.45</v>
      </c>
      <c r="P129" s="26">
        <v>0.1</v>
      </c>
      <c r="Q129" s="4" t="s">
        <v>282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27.6">
      <c r="A130" s="11" t="s">
        <v>621</v>
      </c>
      <c r="B130" s="11" t="s">
        <v>24</v>
      </c>
      <c r="C130" s="11" t="s">
        <v>528</v>
      </c>
      <c r="D130" s="11" t="s">
        <v>622</v>
      </c>
      <c r="E130" s="11" t="s">
        <v>325</v>
      </c>
      <c r="F130" s="11" t="s">
        <v>298</v>
      </c>
      <c r="G130" s="19">
        <v>25</v>
      </c>
      <c r="H130" s="19">
        <v>50</v>
      </c>
      <c r="I130" s="19">
        <v>80</v>
      </c>
      <c r="J130" s="11" t="s">
        <v>155</v>
      </c>
      <c r="K130" s="11" t="s">
        <v>160</v>
      </c>
      <c r="L130" s="11" t="s">
        <v>280</v>
      </c>
      <c r="M130" s="11" t="s">
        <v>281</v>
      </c>
      <c r="N130" s="26">
        <v>0.45</v>
      </c>
      <c r="O130" s="26">
        <v>0.45</v>
      </c>
      <c r="P130" s="26">
        <v>0.1</v>
      </c>
      <c r="Q130" s="4" t="s">
        <v>531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27.6">
      <c r="A131" s="11" t="s">
        <v>623</v>
      </c>
      <c r="B131" s="11" t="s">
        <v>24</v>
      </c>
      <c r="C131" s="11" t="s">
        <v>624</v>
      </c>
      <c r="D131" s="11" t="s">
        <v>625</v>
      </c>
      <c r="E131" s="11" t="s">
        <v>269</v>
      </c>
      <c r="F131" s="11" t="s">
        <v>298</v>
      </c>
      <c r="G131" s="19">
        <v>3</v>
      </c>
      <c r="H131" s="19">
        <v>5</v>
      </c>
      <c r="I131" s="19">
        <v>7.5</v>
      </c>
      <c r="J131" s="11" t="s">
        <v>271</v>
      </c>
      <c r="K131" s="11" t="s">
        <v>175</v>
      </c>
      <c r="L131" s="11" t="s">
        <v>626</v>
      </c>
      <c r="M131" s="11" t="s">
        <v>627</v>
      </c>
      <c r="N131" s="26">
        <v>0.15</v>
      </c>
      <c r="O131" s="26">
        <v>0.6</v>
      </c>
      <c r="P131" s="26">
        <v>0.25</v>
      </c>
      <c r="Q131" s="4" t="s">
        <v>332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27.6">
      <c r="A132" s="11" t="s">
        <v>628</v>
      </c>
      <c r="B132" s="11" t="s">
        <v>24</v>
      </c>
      <c r="C132" s="11" t="s">
        <v>629</v>
      </c>
      <c r="D132" s="11" t="s">
        <v>630</v>
      </c>
      <c r="E132" s="11" t="s">
        <v>269</v>
      </c>
      <c r="F132" s="11" t="s">
        <v>262</v>
      </c>
      <c r="G132" s="19">
        <v>500</v>
      </c>
      <c r="H132" s="19">
        <v>2500</v>
      </c>
      <c r="I132" s="19">
        <v>6000</v>
      </c>
      <c r="J132" s="11" t="s">
        <v>271</v>
      </c>
      <c r="K132" s="11" t="s">
        <v>175</v>
      </c>
      <c r="L132" s="11" t="s">
        <v>280</v>
      </c>
      <c r="M132" s="11" t="s">
        <v>281</v>
      </c>
      <c r="N132" s="26">
        <v>0.15</v>
      </c>
      <c r="O132" s="26">
        <v>0.6</v>
      </c>
      <c r="P132" s="26">
        <v>0.25</v>
      </c>
      <c r="Q132" s="4" t="s">
        <v>332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27.6">
      <c r="A133" s="11" t="s">
        <v>631</v>
      </c>
      <c r="B133" s="11" t="s">
        <v>24</v>
      </c>
      <c r="C133" s="11" t="s">
        <v>632</v>
      </c>
      <c r="D133" s="11" t="s">
        <v>633</v>
      </c>
      <c r="E133" s="11" t="s">
        <v>269</v>
      </c>
      <c r="F133" s="11" t="s">
        <v>262</v>
      </c>
      <c r="G133" s="19">
        <v>800</v>
      </c>
      <c r="H133" s="19">
        <v>1200</v>
      </c>
      <c r="I133" s="19">
        <v>1800</v>
      </c>
      <c r="J133" s="11" t="s">
        <v>271</v>
      </c>
      <c r="K133" s="11" t="s">
        <v>117</v>
      </c>
      <c r="L133" s="11" t="s">
        <v>280</v>
      </c>
      <c r="M133" s="11" t="s">
        <v>281</v>
      </c>
      <c r="N133" s="26">
        <v>0.4</v>
      </c>
      <c r="O133" s="26">
        <v>0.5</v>
      </c>
      <c r="P133" s="26">
        <v>0.1</v>
      </c>
      <c r="Q133" s="4" t="s">
        <v>357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27.6">
      <c r="A134" s="11" t="s">
        <v>634</v>
      </c>
      <c r="B134" s="11" t="s">
        <v>24</v>
      </c>
      <c r="C134" s="11" t="s">
        <v>635</v>
      </c>
      <c r="D134" s="11" t="s">
        <v>636</v>
      </c>
      <c r="E134" s="11" t="s">
        <v>261</v>
      </c>
      <c r="F134" s="11" t="s">
        <v>262</v>
      </c>
      <c r="G134" s="19">
        <v>300</v>
      </c>
      <c r="H134" s="19">
        <v>600</v>
      </c>
      <c r="I134" s="19">
        <v>1000</v>
      </c>
      <c r="J134" s="11" t="s">
        <v>161</v>
      </c>
      <c r="K134" s="11" t="s">
        <v>117</v>
      </c>
      <c r="L134" s="11" t="s">
        <v>280</v>
      </c>
      <c r="M134" s="11" t="s">
        <v>281</v>
      </c>
      <c r="N134" s="26">
        <v>0</v>
      </c>
      <c r="O134" s="26">
        <v>0</v>
      </c>
      <c r="P134" s="26">
        <v>1</v>
      </c>
      <c r="Q134" s="4" t="s">
        <v>265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27.6">
      <c r="A135" s="11" t="s">
        <v>637</v>
      </c>
      <c r="B135" s="11" t="s">
        <v>24</v>
      </c>
      <c r="C135" s="11" t="s">
        <v>635</v>
      </c>
      <c r="D135" s="11" t="s">
        <v>638</v>
      </c>
      <c r="E135" s="11" t="s">
        <v>261</v>
      </c>
      <c r="F135" s="11" t="s">
        <v>262</v>
      </c>
      <c r="G135" s="19">
        <v>300</v>
      </c>
      <c r="H135" s="19">
        <v>600</v>
      </c>
      <c r="I135" s="19">
        <v>1000</v>
      </c>
      <c r="J135" s="11" t="s">
        <v>161</v>
      </c>
      <c r="K135" s="11" t="s">
        <v>117</v>
      </c>
      <c r="L135" s="11" t="s">
        <v>280</v>
      </c>
      <c r="M135" s="11" t="s">
        <v>281</v>
      </c>
      <c r="N135" s="26">
        <v>0</v>
      </c>
      <c r="O135" s="26">
        <v>0</v>
      </c>
      <c r="P135" s="26">
        <v>1</v>
      </c>
      <c r="Q135" s="4" t="s">
        <v>265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27.6">
      <c r="A136" s="11" t="s">
        <v>639</v>
      </c>
      <c r="B136" s="11" t="s">
        <v>24</v>
      </c>
      <c r="C136" s="11" t="s">
        <v>635</v>
      </c>
      <c r="D136" s="11" t="s">
        <v>640</v>
      </c>
      <c r="E136" s="11" t="s">
        <v>269</v>
      </c>
      <c r="F136" s="11" t="s">
        <v>298</v>
      </c>
      <c r="G136" s="19">
        <v>5</v>
      </c>
      <c r="H136" s="19">
        <v>15</v>
      </c>
      <c r="I136" s="19">
        <v>30</v>
      </c>
      <c r="J136" s="11" t="s">
        <v>155</v>
      </c>
      <c r="K136" s="11" t="s">
        <v>175</v>
      </c>
      <c r="L136" s="11" t="s">
        <v>280</v>
      </c>
      <c r="M136" s="11" t="s">
        <v>281</v>
      </c>
      <c r="N136" s="26">
        <v>0.15</v>
      </c>
      <c r="O136" s="26">
        <v>0.6</v>
      </c>
      <c r="P136" s="26">
        <v>0.25</v>
      </c>
      <c r="Q136" s="4" t="s">
        <v>332</v>
      </c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27.6">
      <c r="A137" s="11" t="s">
        <v>641</v>
      </c>
      <c r="B137" s="11" t="s">
        <v>24</v>
      </c>
      <c r="C137" s="11" t="s">
        <v>629</v>
      </c>
      <c r="D137" s="11" t="s">
        <v>642</v>
      </c>
      <c r="E137" s="11" t="s">
        <v>261</v>
      </c>
      <c r="F137" s="11" t="s">
        <v>262</v>
      </c>
      <c r="G137" s="19">
        <v>300</v>
      </c>
      <c r="H137" s="19">
        <v>500</v>
      </c>
      <c r="I137" s="19">
        <v>900</v>
      </c>
      <c r="J137" s="11" t="s">
        <v>161</v>
      </c>
      <c r="K137" s="11" t="s">
        <v>117</v>
      </c>
      <c r="L137" s="11" t="s">
        <v>280</v>
      </c>
      <c r="M137" s="11" t="s">
        <v>281</v>
      </c>
      <c r="N137" s="26">
        <v>0</v>
      </c>
      <c r="O137" s="26">
        <v>0</v>
      </c>
      <c r="P137" s="26">
        <v>1</v>
      </c>
      <c r="Q137" s="4" t="s">
        <v>265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27.6">
      <c r="A138" s="11" t="s">
        <v>643</v>
      </c>
      <c r="B138" s="11" t="s">
        <v>24</v>
      </c>
      <c r="C138" s="11" t="s">
        <v>644</v>
      </c>
      <c r="D138" s="11" t="s">
        <v>645</v>
      </c>
      <c r="E138" s="11" t="s">
        <v>269</v>
      </c>
      <c r="F138" s="11" t="s">
        <v>262</v>
      </c>
      <c r="G138" s="19">
        <v>500</v>
      </c>
      <c r="H138" s="19">
        <v>1200</v>
      </c>
      <c r="I138" s="19">
        <v>3000</v>
      </c>
      <c r="J138" s="11" t="s">
        <v>161</v>
      </c>
      <c r="K138" s="11" t="s">
        <v>117</v>
      </c>
      <c r="L138" s="11" t="s">
        <v>280</v>
      </c>
      <c r="M138" s="11" t="s">
        <v>281</v>
      </c>
      <c r="N138" s="26">
        <v>0.15</v>
      </c>
      <c r="O138" s="26">
        <v>0.6</v>
      </c>
      <c r="P138" s="26">
        <v>0.25</v>
      </c>
      <c r="Q138" s="4" t="s">
        <v>332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27.6">
      <c r="A139" s="11" t="s">
        <v>646</v>
      </c>
      <c r="B139" s="11" t="s">
        <v>24</v>
      </c>
      <c r="C139" s="11" t="s">
        <v>34</v>
      </c>
      <c r="D139" s="11" t="s">
        <v>647</v>
      </c>
      <c r="E139" s="11" t="s">
        <v>269</v>
      </c>
      <c r="F139" s="11" t="s">
        <v>270</v>
      </c>
      <c r="G139" s="19">
        <v>300</v>
      </c>
      <c r="H139" s="19">
        <v>600</v>
      </c>
      <c r="I139" s="19">
        <v>1200</v>
      </c>
      <c r="J139" s="11" t="s">
        <v>161</v>
      </c>
      <c r="K139" s="11" t="s">
        <v>160</v>
      </c>
      <c r="L139" s="11" t="s">
        <v>280</v>
      </c>
      <c r="M139" s="11" t="s">
        <v>281</v>
      </c>
      <c r="N139" s="26">
        <v>0.45</v>
      </c>
      <c r="O139" s="26">
        <v>0.45</v>
      </c>
      <c r="P139" s="26">
        <v>0.1</v>
      </c>
      <c r="Q139" s="4" t="s">
        <v>460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27.6">
      <c r="A140" s="11" t="s">
        <v>648</v>
      </c>
      <c r="B140" s="11" t="s">
        <v>22</v>
      </c>
      <c r="C140" s="11" t="s">
        <v>552</v>
      </c>
      <c r="D140" s="11" t="s">
        <v>649</v>
      </c>
      <c r="E140" s="11" t="s">
        <v>325</v>
      </c>
      <c r="F140" s="11" t="s">
        <v>270</v>
      </c>
      <c r="G140" s="19">
        <v>600</v>
      </c>
      <c r="H140" s="19">
        <v>1200</v>
      </c>
      <c r="I140" s="19">
        <v>2500</v>
      </c>
      <c r="J140" s="11" t="s">
        <v>161</v>
      </c>
      <c r="K140" s="11" t="s">
        <v>115</v>
      </c>
      <c r="L140" s="11" t="s">
        <v>280</v>
      </c>
      <c r="M140" s="11" t="s">
        <v>281</v>
      </c>
      <c r="N140" s="26">
        <v>0.65</v>
      </c>
      <c r="O140" s="26">
        <v>0.25</v>
      </c>
      <c r="P140" s="26">
        <v>0.1</v>
      </c>
      <c r="Q140" s="4" t="s">
        <v>539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27.6">
      <c r="A141" s="11" t="s">
        <v>650</v>
      </c>
      <c r="B141" s="11" t="s">
        <v>22</v>
      </c>
      <c r="C141" s="11" t="s">
        <v>552</v>
      </c>
      <c r="D141" s="11" t="s">
        <v>651</v>
      </c>
      <c r="E141" s="11" t="s">
        <v>325</v>
      </c>
      <c r="F141" s="11" t="s">
        <v>270</v>
      </c>
      <c r="G141" s="19">
        <v>800</v>
      </c>
      <c r="H141" s="19">
        <v>1500</v>
      </c>
      <c r="I141" s="19">
        <v>3000</v>
      </c>
      <c r="J141" s="11" t="s">
        <v>161</v>
      </c>
      <c r="K141" s="11" t="s">
        <v>115</v>
      </c>
      <c r="L141" s="11" t="s">
        <v>280</v>
      </c>
      <c r="M141" s="11" t="s">
        <v>281</v>
      </c>
      <c r="N141" s="26">
        <v>0.65</v>
      </c>
      <c r="O141" s="26">
        <v>0.25</v>
      </c>
      <c r="P141" s="26">
        <v>0.1</v>
      </c>
      <c r="Q141" s="4" t="s">
        <v>539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27.6">
      <c r="A142" s="11" t="s">
        <v>652</v>
      </c>
      <c r="B142" s="11" t="s">
        <v>22</v>
      </c>
      <c r="C142" s="11" t="s">
        <v>552</v>
      </c>
      <c r="D142" s="11" t="s">
        <v>653</v>
      </c>
      <c r="E142" s="11" t="s">
        <v>325</v>
      </c>
      <c r="F142" s="11" t="s">
        <v>270</v>
      </c>
      <c r="G142" s="19">
        <v>500</v>
      </c>
      <c r="H142" s="19">
        <v>900</v>
      </c>
      <c r="I142" s="19">
        <v>1600</v>
      </c>
      <c r="J142" s="11" t="s">
        <v>161</v>
      </c>
      <c r="K142" s="11" t="s">
        <v>115</v>
      </c>
      <c r="L142" s="11" t="s">
        <v>280</v>
      </c>
      <c r="M142" s="11" t="s">
        <v>281</v>
      </c>
      <c r="N142" s="26">
        <v>0.65</v>
      </c>
      <c r="O142" s="26">
        <v>0.25</v>
      </c>
      <c r="P142" s="26">
        <v>0.1</v>
      </c>
      <c r="Q142" s="4" t="s">
        <v>539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27.6">
      <c r="A143" s="11" t="s">
        <v>654</v>
      </c>
      <c r="B143" s="11" t="s">
        <v>22</v>
      </c>
      <c r="C143" s="11" t="s">
        <v>552</v>
      </c>
      <c r="D143" s="11" t="s">
        <v>655</v>
      </c>
      <c r="E143" s="11" t="s">
        <v>325</v>
      </c>
      <c r="F143" s="11" t="s">
        <v>656</v>
      </c>
      <c r="G143" s="19">
        <v>1200</v>
      </c>
      <c r="H143" s="19">
        <v>2000</v>
      </c>
      <c r="I143" s="19">
        <v>3500</v>
      </c>
      <c r="J143" s="11" t="s">
        <v>161</v>
      </c>
      <c r="K143" s="11" t="s">
        <v>115</v>
      </c>
      <c r="L143" s="11" t="s">
        <v>280</v>
      </c>
      <c r="M143" s="11" t="s">
        <v>281</v>
      </c>
      <c r="N143" s="26">
        <v>0.65</v>
      </c>
      <c r="O143" s="26">
        <v>0.25</v>
      </c>
      <c r="P143" s="26">
        <v>0.1</v>
      </c>
      <c r="Q143" s="4" t="s">
        <v>539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27.6">
      <c r="A144" s="11" t="s">
        <v>229</v>
      </c>
      <c r="B144" s="11" t="s">
        <v>22</v>
      </c>
      <c r="C144" s="11" t="s">
        <v>337</v>
      </c>
      <c r="D144" s="11" t="s">
        <v>657</v>
      </c>
      <c r="E144" s="11" t="s">
        <v>325</v>
      </c>
      <c r="F144" s="11" t="s">
        <v>270</v>
      </c>
      <c r="G144" s="19">
        <v>200</v>
      </c>
      <c r="H144" s="19">
        <v>400</v>
      </c>
      <c r="I144" s="19">
        <v>700</v>
      </c>
      <c r="J144" s="11" t="s">
        <v>161</v>
      </c>
      <c r="K144" s="11" t="s">
        <v>115</v>
      </c>
      <c r="L144" s="11" t="s">
        <v>389</v>
      </c>
      <c r="M144" s="11" t="s">
        <v>390</v>
      </c>
      <c r="N144" s="26">
        <v>0.25</v>
      </c>
      <c r="O144" s="26">
        <v>0.7</v>
      </c>
      <c r="P144" s="26">
        <v>0.05</v>
      </c>
      <c r="Q144" s="4" t="s">
        <v>341</v>
      </c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27.6">
      <c r="A145" s="11" t="s">
        <v>658</v>
      </c>
      <c r="B145" s="11" t="s">
        <v>22</v>
      </c>
      <c r="C145" s="11" t="s">
        <v>495</v>
      </c>
      <c r="D145" s="11" t="s">
        <v>659</v>
      </c>
      <c r="E145" s="11" t="s">
        <v>325</v>
      </c>
      <c r="F145" s="11" t="s">
        <v>262</v>
      </c>
      <c r="G145" s="19">
        <v>100</v>
      </c>
      <c r="H145" s="19">
        <v>250</v>
      </c>
      <c r="I145" s="19">
        <v>500</v>
      </c>
      <c r="J145" s="11" t="s">
        <v>161</v>
      </c>
      <c r="K145" s="11" t="s">
        <v>115</v>
      </c>
      <c r="L145" s="11" t="s">
        <v>280</v>
      </c>
      <c r="M145" s="11" t="s">
        <v>281</v>
      </c>
      <c r="N145" s="26">
        <v>0.35</v>
      </c>
      <c r="O145" s="26">
        <v>0.6</v>
      </c>
      <c r="P145" s="26">
        <v>0.05</v>
      </c>
      <c r="Q145" s="4" t="s">
        <v>497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27.6">
      <c r="A146" s="11" t="s">
        <v>660</v>
      </c>
      <c r="B146" s="11" t="s">
        <v>22</v>
      </c>
      <c r="C146" s="11" t="s">
        <v>376</v>
      </c>
      <c r="D146" s="11" t="s">
        <v>661</v>
      </c>
      <c r="E146" s="11" t="s">
        <v>325</v>
      </c>
      <c r="F146" s="11" t="s">
        <v>270</v>
      </c>
      <c r="G146" s="19">
        <v>150</v>
      </c>
      <c r="H146" s="19">
        <v>350</v>
      </c>
      <c r="I146" s="19">
        <v>700</v>
      </c>
      <c r="J146" s="11" t="s">
        <v>161</v>
      </c>
      <c r="K146" s="11" t="s">
        <v>115</v>
      </c>
      <c r="L146" s="11" t="s">
        <v>280</v>
      </c>
      <c r="M146" s="11" t="s">
        <v>281</v>
      </c>
      <c r="N146" s="26">
        <v>0.35</v>
      </c>
      <c r="O146" s="26">
        <v>0.55000000000000004</v>
      </c>
      <c r="P146" s="26">
        <v>0.1</v>
      </c>
      <c r="Q146" s="4" t="s">
        <v>378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27.6">
      <c r="A147" s="11" t="s">
        <v>662</v>
      </c>
      <c r="B147" s="11" t="s">
        <v>22</v>
      </c>
      <c r="C147" s="11" t="s">
        <v>363</v>
      </c>
      <c r="D147" s="11" t="s">
        <v>663</v>
      </c>
      <c r="E147" s="11" t="s">
        <v>325</v>
      </c>
      <c r="F147" s="11" t="s">
        <v>298</v>
      </c>
      <c r="G147" s="19">
        <v>1.5</v>
      </c>
      <c r="H147" s="19">
        <v>3</v>
      </c>
      <c r="I147" s="19">
        <v>5</v>
      </c>
      <c r="J147" s="11" t="s">
        <v>161</v>
      </c>
      <c r="K147" s="11" t="s">
        <v>115</v>
      </c>
      <c r="L147" s="11" t="s">
        <v>280</v>
      </c>
      <c r="M147" s="11" t="s">
        <v>281</v>
      </c>
      <c r="N147" s="26">
        <v>0.3</v>
      </c>
      <c r="O147" s="26">
        <v>0.55000000000000004</v>
      </c>
      <c r="P147" s="26">
        <v>0.15</v>
      </c>
      <c r="Q147" s="4" t="s">
        <v>365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27.6">
      <c r="A148" s="11" t="s">
        <v>664</v>
      </c>
      <c r="B148" s="11" t="s">
        <v>22</v>
      </c>
      <c r="C148" s="11" t="s">
        <v>363</v>
      </c>
      <c r="D148" s="11" t="s">
        <v>665</v>
      </c>
      <c r="E148" s="11" t="s">
        <v>325</v>
      </c>
      <c r="F148" s="11" t="s">
        <v>262</v>
      </c>
      <c r="G148" s="19">
        <v>200</v>
      </c>
      <c r="H148" s="19">
        <v>600</v>
      </c>
      <c r="I148" s="19">
        <v>1500</v>
      </c>
      <c r="J148" s="11" t="s">
        <v>161</v>
      </c>
      <c r="K148" s="11" t="s">
        <v>115</v>
      </c>
      <c r="L148" s="11" t="s">
        <v>280</v>
      </c>
      <c r="M148" s="11" t="s">
        <v>281</v>
      </c>
      <c r="N148" s="26">
        <v>0.3</v>
      </c>
      <c r="O148" s="26">
        <v>0.55000000000000004</v>
      </c>
      <c r="P148" s="26">
        <v>0.15</v>
      </c>
      <c r="Q148" s="4" t="s">
        <v>365</v>
      </c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27.6">
      <c r="A149" s="11" t="s">
        <v>666</v>
      </c>
      <c r="B149" s="11" t="s">
        <v>22</v>
      </c>
      <c r="C149" s="11" t="s">
        <v>667</v>
      </c>
      <c r="D149" s="11" t="s">
        <v>668</v>
      </c>
      <c r="E149" s="11" t="s">
        <v>325</v>
      </c>
      <c r="F149" s="11" t="s">
        <v>262</v>
      </c>
      <c r="G149" s="19">
        <v>1500</v>
      </c>
      <c r="H149" s="19">
        <v>3000</v>
      </c>
      <c r="I149" s="19">
        <v>6000</v>
      </c>
      <c r="J149" s="11" t="s">
        <v>161</v>
      </c>
      <c r="K149" s="11" t="s">
        <v>115</v>
      </c>
      <c r="L149" s="11" t="s">
        <v>280</v>
      </c>
      <c r="M149" s="11" t="s">
        <v>281</v>
      </c>
      <c r="N149" s="26">
        <v>0</v>
      </c>
      <c r="O149" s="26">
        <v>0.2</v>
      </c>
      <c r="P149" s="26">
        <v>0.8</v>
      </c>
      <c r="Q149" s="4" t="s">
        <v>669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27.6">
      <c r="A150" s="11" t="s">
        <v>156</v>
      </c>
      <c r="B150" s="11" t="s">
        <v>41</v>
      </c>
      <c r="C150" s="11" t="s">
        <v>670</v>
      </c>
      <c r="D150" s="11" t="s">
        <v>671</v>
      </c>
      <c r="E150" s="11" t="s">
        <v>261</v>
      </c>
      <c r="F150" s="11" t="s">
        <v>262</v>
      </c>
      <c r="G150" s="19">
        <v>350</v>
      </c>
      <c r="H150" s="19">
        <v>500</v>
      </c>
      <c r="I150" s="19">
        <v>800</v>
      </c>
      <c r="J150" s="11" t="s">
        <v>161</v>
      </c>
      <c r="K150" s="11" t="s">
        <v>160</v>
      </c>
      <c r="L150" s="11" t="s">
        <v>280</v>
      </c>
      <c r="M150" s="11" t="s">
        <v>281</v>
      </c>
      <c r="N150" s="26">
        <v>0</v>
      </c>
      <c r="O150" s="26">
        <v>0</v>
      </c>
      <c r="P150" s="26">
        <v>1</v>
      </c>
      <c r="Q150" s="4" t="s">
        <v>672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27.6">
      <c r="A151" s="11" t="s">
        <v>167</v>
      </c>
      <c r="B151" s="11" t="s">
        <v>41</v>
      </c>
      <c r="C151" s="11" t="s">
        <v>670</v>
      </c>
      <c r="D151" s="11" t="s">
        <v>673</v>
      </c>
      <c r="E151" s="11" t="s">
        <v>261</v>
      </c>
      <c r="F151" s="11" t="s">
        <v>262</v>
      </c>
      <c r="G151" s="19">
        <v>200</v>
      </c>
      <c r="H151" s="19">
        <v>350</v>
      </c>
      <c r="I151" s="19">
        <v>600</v>
      </c>
      <c r="J151" s="11" t="s">
        <v>161</v>
      </c>
      <c r="K151" s="11" t="s">
        <v>117</v>
      </c>
      <c r="L151" s="11" t="s">
        <v>280</v>
      </c>
      <c r="M151" s="11" t="s">
        <v>281</v>
      </c>
      <c r="N151" s="26">
        <v>0</v>
      </c>
      <c r="O151" s="26">
        <v>0</v>
      </c>
      <c r="P151" s="26">
        <v>1</v>
      </c>
      <c r="Q151" s="4" t="s">
        <v>672</v>
      </c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27.6">
      <c r="A152" s="11" t="s">
        <v>674</v>
      </c>
      <c r="B152" s="11" t="s">
        <v>41</v>
      </c>
      <c r="C152" s="11" t="s">
        <v>670</v>
      </c>
      <c r="D152" s="11" t="s">
        <v>675</v>
      </c>
      <c r="E152" s="11" t="s">
        <v>261</v>
      </c>
      <c r="F152" s="11" t="s">
        <v>262</v>
      </c>
      <c r="G152" s="19">
        <v>150</v>
      </c>
      <c r="H152" s="19">
        <v>250</v>
      </c>
      <c r="I152" s="19">
        <v>400</v>
      </c>
      <c r="J152" s="11" t="s">
        <v>161</v>
      </c>
      <c r="K152" s="11" t="s">
        <v>117</v>
      </c>
      <c r="L152" s="11" t="s">
        <v>280</v>
      </c>
      <c r="M152" s="11" t="s">
        <v>281</v>
      </c>
      <c r="N152" s="26">
        <v>0</v>
      </c>
      <c r="O152" s="26">
        <v>0</v>
      </c>
      <c r="P152" s="26">
        <v>1</v>
      </c>
      <c r="Q152" s="4" t="s">
        <v>672</v>
      </c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27.6">
      <c r="A153" s="11" t="s">
        <v>676</v>
      </c>
      <c r="B153" s="11" t="s">
        <v>41</v>
      </c>
      <c r="C153" s="11" t="s">
        <v>677</v>
      </c>
      <c r="D153" s="11" t="s">
        <v>678</v>
      </c>
      <c r="E153" s="11" t="s">
        <v>261</v>
      </c>
      <c r="F153" s="11" t="s">
        <v>262</v>
      </c>
      <c r="G153" s="19">
        <v>400</v>
      </c>
      <c r="H153" s="19">
        <v>750</v>
      </c>
      <c r="I153" s="19">
        <v>1200</v>
      </c>
      <c r="J153" s="11" t="s">
        <v>161</v>
      </c>
      <c r="K153" s="11" t="s">
        <v>117</v>
      </c>
      <c r="L153" s="11" t="s">
        <v>263</v>
      </c>
      <c r="M153" s="11" t="s">
        <v>264</v>
      </c>
      <c r="N153" s="26">
        <v>0</v>
      </c>
      <c r="O153" s="26">
        <v>0</v>
      </c>
      <c r="P153" s="26">
        <v>1</v>
      </c>
      <c r="Q153" s="4" t="s">
        <v>672</v>
      </c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27.6">
      <c r="A154" s="11" t="s">
        <v>679</v>
      </c>
      <c r="B154" s="11" t="s">
        <v>41</v>
      </c>
      <c r="C154" s="11" t="s">
        <v>207</v>
      </c>
      <c r="D154" s="11" t="s">
        <v>680</v>
      </c>
      <c r="E154" s="11" t="s">
        <v>325</v>
      </c>
      <c r="F154" s="11" t="s">
        <v>262</v>
      </c>
      <c r="G154" s="19">
        <v>500</v>
      </c>
      <c r="H154" s="19">
        <v>1500</v>
      </c>
      <c r="I154" s="19">
        <v>5000</v>
      </c>
      <c r="J154" s="11" t="s">
        <v>161</v>
      </c>
      <c r="K154" s="11" t="s">
        <v>115</v>
      </c>
      <c r="L154" s="11" t="s">
        <v>280</v>
      </c>
      <c r="M154" s="11" t="s">
        <v>281</v>
      </c>
      <c r="N154" s="26">
        <v>0</v>
      </c>
      <c r="O154" s="26">
        <v>0</v>
      </c>
      <c r="P154" s="26">
        <v>1</v>
      </c>
      <c r="Q154" s="4" t="s">
        <v>672</v>
      </c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27.6">
      <c r="A155" s="11" t="s">
        <v>681</v>
      </c>
      <c r="B155" s="11" t="s">
        <v>41</v>
      </c>
      <c r="C155" s="11" t="s">
        <v>682</v>
      </c>
      <c r="D155" s="11" t="s">
        <v>683</v>
      </c>
      <c r="E155" s="11" t="s">
        <v>261</v>
      </c>
      <c r="F155" s="11" t="s">
        <v>262</v>
      </c>
      <c r="G155" s="19">
        <v>400</v>
      </c>
      <c r="H155" s="19">
        <v>600</v>
      </c>
      <c r="I155" s="19">
        <v>900</v>
      </c>
      <c r="J155" s="11" t="s">
        <v>161</v>
      </c>
      <c r="K155" s="11" t="s">
        <v>117</v>
      </c>
      <c r="L155" s="11" t="s">
        <v>280</v>
      </c>
      <c r="M155" s="11" t="s">
        <v>281</v>
      </c>
      <c r="N155" s="26">
        <v>0</v>
      </c>
      <c r="O155" s="26">
        <v>0</v>
      </c>
      <c r="P155" s="26">
        <v>1</v>
      </c>
      <c r="Q155" s="4" t="s">
        <v>672</v>
      </c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27.6">
      <c r="A156" s="11" t="s">
        <v>684</v>
      </c>
      <c r="B156" s="11" t="s">
        <v>41</v>
      </c>
      <c r="C156" s="11" t="s">
        <v>685</v>
      </c>
      <c r="D156" s="11" t="s">
        <v>686</v>
      </c>
      <c r="E156" s="11" t="s">
        <v>261</v>
      </c>
      <c r="F156" s="11" t="s">
        <v>262</v>
      </c>
      <c r="G156" s="19">
        <v>500</v>
      </c>
      <c r="H156" s="19">
        <v>1500</v>
      </c>
      <c r="I156" s="19">
        <v>5000</v>
      </c>
      <c r="J156" s="11" t="s">
        <v>155</v>
      </c>
      <c r="K156" s="11" t="s">
        <v>160</v>
      </c>
      <c r="L156" s="11" t="s">
        <v>280</v>
      </c>
      <c r="M156" s="11" t="s">
        <v>281</v>
      </c>
      <c r="N156" s="26">
        <v>0</v>
      </c>
      <c r="O156" s="26">
        <v>0</v>
      </c>
      <c r="P156" s="26">
        <v>1</v>
      </c>
      <c r="Q156" s="4" t="s">
        <v>672</v>
      </c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27.6">
      <c r="A157" s="11" t="s">
        <v>687</v>
      </c>
      <c r="B157" s="11" t="s">
        <v>41</v>
      </c>
      <c r="C157" s="11" t="s">
        <v>688</v>
      </c>
      <c r="D157" s="11" t="s">
        <v>689</v>
      </c>
      <c r="E157" s="11" t="s">
        <v>325</v>
      </c>
      <c r="F157" s="11" t="s">
        <v>262</v>
      </c>
      <c r="G157" s="19">
        <v>500</v>
      </c>
      <c r="H157" s="19">
        <v>800</v>
      </c>
      <c r="I157" s="19">
        <v>1500</v>
      </c>
      <c r="J157" s="11" t="s">
        <v>161</v>
      </c>
      <c r="K157" s="11" t="s">
        <v>115</v>
      </c>
      <c r="L157" s="11" t="s">
        <v>280</v>
      </c>
      <c r="M157" s="11" t="s">
        <v>281</v>
      </c>
      <c r="N157" s="26">
        <v>0</v>
      </c>
      <c r="O157" s="26">
        <v>0</v>
      </c>
      <c r="P157" s="26">
        <v>1</v>
      </c>
      <c r="Q157" s="4" t="s">
        <v>672</v>
      </c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27.6">
      <c r="A158" s="11" t="s">
        <v>690</v>
      </c>
      <c r="B158" s="11" t="s">
        <v>41</v>
      </c>
      <c r="C158" s="11" t="s">
        <v>370</v>
      </c>
      <c r="D158" s="11" t="s">
        <v>691</v>
      </c>
      <c r="E158" s="11" t="s">
        <v>325</v>
      </c>
      <c r="F158" s="11" t="s">
        <v>262</v>
      </c>
      <c r="G158" s="19">
        <v>300</v>
      </c>
      <c r="H158" s="19">
        <v>600</v>
      </c>
      <c r="I158" s="19">
        <v>1200</v>
      </c>
      <c r="J158" s="11" t="s">
        <v>161</v>
      </c>
      <c r="K158" s="11" t="s">
        <v>115</v>
      </c>
      <c r="L158" s="11" t="s">
        <v>280</v>
      </c>
      <c r="M158" s="11" t="s">
        <v>281</v>
      </c>
      <c r="N158" s="26">
        <v>0.05</v>
      </c>
      <c r="O158" s="26">
        <v>0.9</v>
      </c>
      <c r="P158" s="26">
        <v>0.05</v>
      </c>
      <c r="Q158" s="4" t="s">
        <v>692</v>
      </c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27.6">
      <c r="A159" s="11" t="s">
        <v>693</v>
      </c>
      <c r="B159" s="11" t="s">
        <v>41</v>
      </c>
      <c r="C159" s="11" t="s">
        <v>694</v>
      </c>
      <c r="D159" s="11" t="s">
        <v>695</v>
      </c>
      <c r="E159" s="11" t="s">
        <v>325</v>
      </c>
      <c r="F159" s="11" t="s">
        <v>262</v>
      </c>
      <c r="G159" s="19">
        <v>250</v>
      </c>
      <c r="H159" s="19">
        <v>500</v>
      </c>
      <c r="I159" s="19">
        <v>1000</v>
      </c>
      <c r="J159" s="11" t="s">
        <v>161</v>
      </c>
      <c r="K159" s="11" t="s">
        <v>115</v>
      </c>
      <c r="L159" s="11" t="s">
        <v>280</v>
      </c>
      <c r="M159" s="11" t="s">
        <v>281</v>
      </c>
      <c r="N159" s="26">
        <v>0</v>
      </c>
      <c r="O159" s="26">
        <v>0</v>
      </c>
      <c r="P159" s="26">
        <v>1</v>
      </c>
      <c r="Q159" s="4" t="s">
        <v>672</v>
      </c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0"/>
  <sheetViews>
    <sheetView workbookViewId="0"/>
  </sheetViews>
  <sheetFormatPr defaultRowHeight="13.8"/>
  <cols>
    <col min="1" max="1" width="16" customWidth="1"/>
    <col min="2" max="2" width="38" customWidth="1"/>
    <col min="3" max="3" width="22" customWidth="1"/>
    <col min="4" max="5" width="14" customWidth="1"/>
    <col min="6" max="7" width="12" customWidth="1"/>
    <col min="8" max="8" width="18" customWidth="1"/>
    <col min="9" max="10" width="14" customWidth="1"/>
    <col min="11" max="11" width="20" customWidth="1"/>
    <col min="12" max="12" width="36" customWidth="1"/>
  </cols>
  <sheetData>
    <row r="1" spans="1:29" ht="27.6">
      <c r="A1" s="12" t="s">
        <v>696</v>
      </c>
      <c r="B1" s="12" t="s">
        <v>697</v>
      </c>
      <c r="C1" s="12" t="s">
        <v>698</v>
      </c>
      <c r="D1" s="12" t="s">
        <v>699</v>
      </c>
      <c r="E1" s="12" t="s">
        <v>700</v>
      </c>
      <c r="F1" s="12" t="s">
        <v>701</v>
      </c>
      <c r="G1" s="12" t="s">
        <v>702</v>
      </c>
      <c r="H1" s="12" t="s">
        <v>703</v>
      </c>
      <c r="I1" s="12" t="s">
        <v>704</v>
      </c>
      <c r="J1" s="12" t="s">
        <v>705</v>
      </c>
      <c r="K1" s="12" t="s">
        <v>706</v>
      </c>
      <c r="L1" s="12" t="s">
        <v>49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20"/>
      <c r="B2" s="20"/>
      <c r="C2" s="20"/>
      <c r="D2" s="20" t="s">
        <v>707</v>
      </c>
      <c r="E2" s="21">
        <v>0</v>
      </c>
      <c r="F2" s="20">
        <v>0</v>
      </c>
      <c r="G2" s="20">
        <v>0</v>
      </c>
      <c r="H2" s="20"/>
      <c r="I2" s="20" t="s">
        <v>708</v>
      </c>
      <c r="J2" s="20" t="s">
        <v>708</v>
      </c>
      <c r="K2" s="20"/>
      <c r="L2" s="2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20"/>
      <c r="B3" s="20"/>
      <c r="C3" s="20"/>
      <c r="D3" s="20" t="s">
        <v>707</v>
      </c>
      <c r="E3" s="21">
        <v>0</v>
      </c>
      <c r="F3" s="20">
        <v>0</v>
      </c>
      <c r="G3" s="20">
        <v>0</v>
      </c>
      <c r="H3" s="20"/>
      <c r="I3" s="20" t="s">
        <v>708</v>
      </c>
      <c r="J3" s="20" t="s">
        <v>708</v>
      </c>
      <c r="K3" s="20"/>
      <c r="L3" s="2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>
      <c r="A4" s="20"/>
      <c r="B4" s="20"/>
      <c r="C4" s="20"/>
      <c r="D4" s="20" t="s">
        <v>707</v>
      </c>
      <c r="E4" s="21">
        <v>0</v>
      </c>
      <c r="F4" s="20">
        <v>0</v>
      </c>
      <c r="G4" s="20">
        <v>0</v>
      </c>
      <c r="H4" s="20"/>
      <c r="I4" s="20" t="s">
        <v>708</v>
      </c>
      <c r="J4" s="20" t="s">
        <v>708</v>
      </c>
      <c r="K4" s="20"/>
      <c r="L4" s="2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20"/>
      <c r="B5" s="20"/>
      <c r="C5" s="20"/>
      <c r="D5" s="20" t="s">
        <v>707</v>
      </c>
      <c r="E5" s="21">
        <v>0</v>
      </c>
      <c r="F5" s="20">
        <v>0</v>
      </c>
      <c r="G5" s="20">
        <v>0</v>
      </c>
      <c r="H5" s="20"/>
      <c r="I5" s="20" t="s">
        <v>708</v>
      </c>
      <c r="J5" s="20" t="s">
        <v>708</v>
      </c>
      <c r="K5" s="20"/>
      <c r="L5" s="2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20"/>
      <c r="B6" s="20"/>
      <c r="C6" s="20"/>
      <c r="D6" s="20" t="s">
        <v>707</v>
      </c>
      <c r="E6" s="21">
        <v>0</v>
      </c>
      <c r="F6" s="20">
        <v>0</v>
      </c>
      <c r="G6" s="20">
        <v>0</v>
      </c>
      <c r="H6" s="20"/>
      <c r="I6" s="20" t="s">
        <v>708</v>
      </c>
      <c r="J6" s="20" t="s">
        <v>708</v>
      </c>
      <c r="K6" s="20"/>
      <c r="L6" s="2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20"/>
      <c r="B7" s="20"/>
      <c r="C7" s="20"/>
      <c r="D7" s="20" t="s">
        <v>707</v>
      </c>
      <c r="E7" s="21">
        <v>0</v>
      </c>
      <c r="F7" s="20">
        <v>0</v>
      </c>
      <c r="G7" s="20">
        <v>0</v>
      </c>
      <c r="H7" s="20"/>
      <c r="I7" s="20" t="s">
        <v>708</v>
      </c>
      <c r="J7" s="20" t="s">
        <v>708</v>
      </c>
      <c r="K7" s="20"/>
      <c r="L7" s="2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20"/>
      <c r="B8" s="20"/>
      <c r="C8" s="20"/>
      <c r="D8" s="20" t="s">
        <v>707</v>
      </c>
      <c r="E8" s="21">
        <v>0</v>
      </c>
      <c r="F8" s="20">
        <v>0</v>
      </c>
      <c r="G8" s="20">
        <v>0</v>
      </c>
      <c r="H8" s="20"/>
      <c r="I8" s="20" t="s">
        <v>708</v>
      </c>
      <c r="J8" s="20" t="s">
        <v>708</v>
      </c>
      <c r="K8" s="20"/>
      <c r="L8" s="2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20"/>
      <c r="B9" s="20"/>
      <c r="C9" s="20"/>
      <c r="D9" s="20" t="s">
        <v>707</v>
      </c>
      <c r="E9" s="21">
        <v>0</v>
      </c>
      <c r="F9" s="20">
        <v>0</v>
      </c>
      <c r="G9" s="20">
        <v>0</v>
      </c>
      <c r="H9" s="20"/>
      <c r="I9" s="20" t="s">
        <v>708</v>
      </c>
      <c r="J9" s="20" t="s">
        <v>708</v>
      </c>
      <c r="K9" s="20"/>
      <c r="L9" s="2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20"/>
      <c r="B10" s="20"/>
      <c r="C10" s="20"/>
      <c r="D10" s="20" t="s">
        <v>707</v>
      </c>
      <c r="E10" s="21">
        <v>0</v>
      </c>
      <c r="F10" s="20">
        <v>0</v>
      </c>
      <c r="G10" s="20">
        <v>0</v>
      </c>
      <c r="H10" s="20"/>
      <c r="I10" s="20" t="s">
        <v>708</v>
      </c>
      <c r="J10" s="20" t="s">
        <v>708</v>
      </c>
      <c r="K10" s="20"/>
      <c r="L10" s="2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20"/>
      <c r="B11" s="20"/>
      <c r="C11" s="20"/>
      <c r="D11" s="20" t="s">
        <v>707</v>
      </c>
      <c r="E11" s="21">
        <v>0</v>
      </c>
      <c r="F11" s="20">
        <v>0</v>
      </c>
      <c r="G11" s="20">
        <v>0</v>
      </c>
      <c r="H11" s="20"/>
      <c r="I11" s="20" t="s">
        <v>708</v>
      </c>
      <c r="J11" s="20" t="s">
        <v>708</v>
      </c>
      <c r="K11" s="20"/>
      <c r="L11" s="20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20"/>
      <c r="B12" s="20"/>
      <c r="C12" s="20"/>
      <c r="D12" s="20" t="s">
        <v>707</v>
      </c>
      <c r="E12" s="21">
        <v>0</v>
      </c>
      <c r="F12" s="20">
        <v>0</v>
      </c>
      <c r="G12" s="20">
        <v>0</v>
      </c>
      <c r="H12" s="20"/>
      <c r="I12" s="20" t="s">
        <v>708</v>
      </c>
      <c r="J12" s="20" t="s">
        <v>708</v>
      </c>
      <c r="K12" s="20"/>
      <c r="L12" s="2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20"/>
      <c r="B13" s="20"/>
      <c r="C13" s="20"/>
      <c r="D13" s="20" t="s">
        <v>707</v>
      </c>
      <c r="E13" s="21">
        <v>0</v>
      </c>
      <c r="F13" s="20">
        <v>0</v>
      </c>
      <c r="G13" s="20">
        <v>0</v>
      </c>
      <c r="H13" s="20"/>
      <c r="I13" s="20" t="s">
        <v>708</v>
      </c>
      <c r="J13" s="20" t="s">
        <v>708</v>
      </c>
      <c r="K13" s="20"/>
      <c r="L13" s="2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20"/>
      <c r="B14" s="20"/>
      <c r="C14" s="20"/>
      <c r="D14" s="20" t="s">
        <v>707</v>
      </c>
      <c r="E14" s="21">
        <v>0</v>
      </c>
      <c r="F14" s="20">
        <v>0</v>
      </c>
      <c r="G14" s="20">
        <v>0</v>
      </c>
      <c r="H14" s="20"/>
      <c r="I14" s="20" t="s">
        <v>708</v>
      </c>
      <c r="J14" s="20" t="s">
        <v>708</v>
      </c>
      <c r="K14" s="20"/>
      <c r="L14" s="2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20"/>
      <c r="B15" s="20"/>
      <c r="C15" s="20"/>
      <c r="D15" s="20" t="s">
        <v>707</v>
      </c>
      <c r="E15" s="21">
        <v>0</v>
      </c>
      <c r="F15" s="20">
        <v>0</v>
      </c>
      <c r="G15" s="20">
        <v>0</v>
      </c>
      <c r="H15" s="20"/>
      <c r="I15" s="20" t="s">
        <v>708</v>
      </c>
      <c r="J15" s="20" t="s">
        <v>708</v>
      </c>
      <c r="K15" s="20"/>
      <c r="L15" s="2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20"/>
      <c r="B16" s="20"/>
      <c r="C16" s="20"/>
      <c r="D16" s="20" t="s">
        <v>707</v>
      </c>
      <c r="E16" s="21">
        <v>0</v>
      </c>
      <c r="F16" s="20">
        <v>0</v>
      </c>
      <c r="G16" s="20">
        <v>0</v>
      </c>
      <c r="H16" s="20"/>
      <c r="I16" s="20" t="s">
        <v>708</v>
      </c>
      <c r="J16" s="20" t="s">
        <v>708</v>
      </c>
      <c r="K16" s="20"/>
      <c r="L16" s="20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20"/>
      <c r="B17" s="20"/>
      <c r="C17" s="20"/>
      <c r="D17" s="20" t="s">
        <v>707</v>
      </c>
      <c r="E17" s="21">
        <v>0</v>
      </c>
      <c r="F17" s="20">
        <v>0</v>
      </c>
      <c r="G17" s="20">
        <v>0</v>
      </c>
      <c r="H17" s="20"/>
      <c r="I17" s="20" t="s">
        <v>708</v>
      </c>
      <c r="J17" s="20" t="s">
        <v>708</v>
      </c>
      <c r="K17" s="20"/>
      <c r="L17" s="2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">
      <c r="A18" s="20"/>
      <c r="B18" s="20"/>
      <c r="C18" s="20"/>
      <c r="D18" s="20" t="s">
        <v>707</v>
      </c>
      <c r="E18" s="21">
        <v>0</v>
      </c>
      <c r="F18" s="20">
        <v>0</v>
      </c>
      <c r="G18" s="20">
        <v>0</v>
      </c>
      <c r="H18" s="20"/>
      <c r="I18" s="20" t="s">
        <v>708</v>
      </c>
      <c r="J18" s="20" t="s">
        <v>708</v>
      </c>
      <c r="K18" s="20"/>
      <c r="L18" s="2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">
      <c r="A19" s="20"/>
      <c r="B19" s="20"/>
      <c r="C19" s="20"/>
      <c r="D19" s="20" t="s">
        <v>707</v>
      </c>
      <c r="E19" s="21">
        <v>0</v>
      </c>
      <c r="F19" s="20">
        <v>0</v>
      </c>
      <c r="G19" s="20">
        <v>0</v>
      </c>
      <c r="H19" s="20"/>
      <c r="I19" s="20" t="s">
        <v>708</v>
      </c>
      <c r="J19" s="20" t="s">
        <v>708</v>
      </c>
      <c r="K19" s="20"/>
      <c r="L19" s="2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">
      <c r="A20" s="20"/>
      <c r="B20" s="20"/>
      <c r="C20" s="20"/>
      <c r="D20" s="20" t="s">
        <v>707</v>
      </c>
      <c r="E20" s="21">
        <v>0</v>
      </c>
      <c r="F20" s="20">
        <v>0</v>
      </c>
      <c r="G20" s="20">
        <v>0</v>
      </c>
      <c r="H20" s="20"/>
      <c r="I20" s="20" t="s">
        <v>708</v>
      </c>
      <c r="J20" s="20" t="s">
        <v>708</v>
      </c>
      <c r="K20" s="20"/>
      <c r="L20" s="2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4.4">
      <c r="A21" s="20"/>
      <c r="B21" s="20"/>
      <c r="C21" s="20"/>
      <c r="D21" s="20" t="s">
        <v>707</v>
      </c>
      <c r="E21" s="21">
        <v>0</v>
      </c>
      <c r="F21" s="20">
        <v>0</v>
      </c>
      <c r="G21" s="20">
        <v>0</v>
      </c>
      <c r="H21" s="20"/>
      <c r="I21" s="20" t="s">
        <v>708</v>
      </c>
      <c r="J21" s="20" t="s">
        <v>708</v>
      </c>
      <c r="K21" s="20"/>
      <c r="L21" s="2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.4">
      <c r="A22" s="20"/>
      <c r="B22" s="20"/>
      <c r="C22" s="20"/>
      <c r="D22" s="20" t="s">
        <v>707</v>
      </c>
      <c r="E22" s="21">
        <v>0</v>
      </c>
      <c r="F22" s="20">
        <v>0</v>
      </c>
      <c r="G22" s="20">
        <v>0</v>
      </c>
      <c r="H22" s="20"/>
      <c r="I22" s="20" t="s">
        <v>708</v>
      </c>
      <c r="J22" s="20" t="s">
        <v>708</v>
      </c>
      <c r="K22" s="20"/>
      <c r="L22" s="2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.4">
      <c r="A23" s="20"/>
      <c r="B23" s="20"/>
      <c r="C23" s="20"/>
      <c r="D23" s="20" t="s">
        <v>707</v>
      </c>
      <c r="E23" s="21">
        <v>0</v>
      </c>
      <c r="F23" s="20">
        <v>0</v>
      </c>
      <c r="G23" s="20">
        <v>0</v>
      </c>
      <c r="H23" s="20"/>
      <c r="I23" s="20" t="s">
        <v>708</v>
      </c>
      <c r="J23" s="20" t="s">
        <v>708</v>
      </c>
      <c r="K23" s="20"/>
      <c r="L23" s="2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.4">
      <c r="A24" s="20"/>
      <c r="B24" s="20"/>
      <c r="C24" s="20"/>
      <c r="D24" s="20" t="s">
        <v>707</v>
      </c>
      <c r="E24" s="21">
        <v>0</v>
      </c>
      <c r="F24" s="20">
        <v>0</v>
      </c>
      <c r="G24" s="20">
        <v>0</v>
      </c>
      <c r="H24" s="20"/>
      <c r="I24" s="20" t="s">
        <v>708</v>
      </c>
      <c r="J24" s="20" t="s">
        <v>708</v>
      </c>
      <c r="K24" s="20"/>
      <c r="L24" s="2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.4">
      <c r="A25" s="20"/>
      <c r="B25" s="20"/>
      <c r="C25" s="20"/>
      <c r="D25" s="20" t="s">
        <v>707</v>
      </c>
      <c r="E25" s="21">
        <v>0</v>
      </c>
      <c r="F25" s="20">
        <v>0</v>
      </c>
      <c r="G25" s="20">
        <v>0</v>
      </c>
      <c r="H25" s="20"/>
      <c r="I25" s="20" t="s">
        <v>708</v>
      </c>
      <c r="J25" s="20" t="s">
        <v>708</v>
      </c>
      <c r="K25" s="20"/>
      <c r="L25" s="2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">
      <c r="A26" s="20"/>
      <c r="B26" s="20"/>
      <c r="C26" s="20"/>
      <c r="D26" s="20" t="s">
        <v>707</v>
      </c>
      <c r="E26" s="21">
        <v>0</v>
      </c>
      <c r="F26" s="20">
        <v>0</v>
      </c>
      <c r="G26" s="20">
        <v>0</v>
      </c>
      <c r="H26" s="20"/>
      <c r="I26" s="20" t="s">
        <v>708</v>
      </c>
      <c r="J26" s="20" t="s">
        <v>708</v>
      </c>
      <c r="K26" s="20"/>
      <c r="L26" s="2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">
      <c r="A27" s="20"/>
      <c r="B27" s="20"/>
      <c r="C27" s="20"/>
      <c r="D27" s="20" t="s">
        <v>707</v>
      </c>
      <c r="E27" s="21">
        <v>0</v>
      </c>
      <c r="F27" s="20">
        <v>0</v>
      </c>
      <c r="G27" s="20">
        <v>0</v>
      </c>
      <c r="H27" s="20"/>
      <c r="I27" s="20" t="s">
        <v>708</v>
      </c>
      <c r="J27" s="20" t="s">
        <v>708</v>
      </c>
      <c r="K27" s="20"/>
      <c r="L27" s="2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">
      <c r="A28" s="20"/>
      <c r="B28" s="20"/>
      <c r="C28" s="20"/>
      <c r="D28" s="20" t="s">
        <v>707</v>
      </c>
      <c r="E28" s="21">
        <v>0</v>
      </c>
      <c r="F28" s="20">
        <v>0</v>
      </c>
      <c r="G28" s="20">
        <v>0</v>
      </c>
      <c r="H28" s="20"/>
      <c r="I28" s="20" t="s">
        <v>708</v>
      </c>
      <c r="J28" s="20" t="s">
        <v>708</v>
      </c>
      <c r="K28" s="20"/>
      <c r="L28" s="20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">
      <c r="A29" s="20"/>
      <c r="B29" s="20"/>
      <c r="C29" s="20"/>
      <c r="D29" s="20" t="s">
        <v>707</v>
      </c>
      <c r="E29" s="21">
        <v>0</v>
      </c>
      <c r="F29" s="20">
        <v>0</v>
      </c>
      <c r="G29" s="20">
        <v>0</v>
      </c>
      <c r="H29" s="20"/>
      <c r="I29" s="20" t="s">
        <v>708</v>
      </c>
      <c r="J29" s="20" t="s">
        <v>708</v>
      </c>
      <c r="K29" s="20"/>
      <c r="L29" s="20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">
      <c r="A30" s="20"/>
      <c r="B30" s="20"/>
      <c r="C30" s="20"/>
      <c r="D30" s="20" t="s">
        <v>707</v>
      </c>
      <c r="E30" s="21">
        <v>0</v>
      </c>
      <c r="F30" s="20">
        <v>0</v>
      </c>
      <c r="G30" s="20">
        <v>0</v>
      </c>
      <c r="H30" s="20"/>
      <c r="I30" s="20" t="s">
        <v>708</v>
      </c>
      <c r="J30" s="20" t="s">
        <v>708</v>
      </c>
      <c r="K30" s="20"/>
      <c r="L30" s="2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">
      <c r="A31" s="20"/>
      <c r="B31" s="20"/>
      <c r="C31" s="20"/>
      <c r="D31" s="20" t="s">
        <v>707</v>
      </c>
      <c r="E31" s="21">
        <v>0</v>
      </c>
      <c r="F31" s="20">
        <v>0</v>
      </c>
      <c r="G31" s="20">
        <v>0</v>
      </c>
      <c r="H31" s="20"/>
      <c r="I31" s="20" t="s">
        <v>708</v>
      </c>
      <c r="J31" s="20" t="s">
        <v>708</v>
      </c>
      <c r="K31" s="20"/>
      <c r="L31" s="20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">
      <c r="A32" s="20"/>
      <c r="B32" s="20"/>
      <c r="C32" s="20"/>
      <c r="D32" s="20" t="s">
        <v>707</v>
      </c>
      <c r="E32" s="21">
        <v>0</v>
      </c>
      <c r="F32" s="20">
        <v>0</v>
      </c>
      <c r="G32" s="20">
        <v>0</v>
      </c>
      <c r="H32" s="20"/>
      <c r="I32" s="20" t="s">
        <v>708</v>
      </c>
      <c r="J32" s="20" t="s">
        <v>708</v>
      </c>
      <c r="K32" s="20"/>
      <c r="L32" s="2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">
      <c r="A33" s="20"/>
      <c r="B33" s="20"/>
      <c r="C33" s="20"/>
      <c r="D33" s="20" t="s">
        <v>707</v>
      </c>
      <c r="E33" s="21">
        <v>0</v>
      </c>
      <c r="F33" s="20">
        <v>0</v>
      </c>
      <c r="G33" s="20">
        <v>0</v>
      </c>
      <c r="H33" s="20"/>
      <c r="I33" s="20" t="s">
        <v>708</v>
      </c>
      <c r="J33" s="20" t="s">
        <v>708</v>
      </c>
      <c r="K33" s="20"/>
      <c r="L33" s="20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">
      <c r="A34" s="20"/>
      <c r="B34" s="20"/>
      <c r="C34" s="20"/>
      <c r="D34" s="20" t="s">
        <v>707</v>
      </c>
      <c r="E34" s="21">
        <v>0</v>
      </c>
      <c r="F34" s="20">
        <v>0</v>
      </c>
      <c r="G34" s="20">
        <v>0</v>
      </c>
      <c r="H34" s="20"/>
      <c r="I34" s="20" t="s">
        <v>708</v>
      </c>
      <c r="J34" s="20" t="s">
        <v>708</v>
      </c>
      <c r="K34" s="20"/>
      <c r="L34" s="20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">
      <c r="A35" s="20"/>
      <c r="B35" s="20"/>
      <c r="C35" s="20"/>
      <c r="D35" s="20" t="s">
        <v>707</v>
      </c>
      <c r="E35" s="21">
        <v>0</v>
      </c>
      <c r="F35" s="20">
        <v>0</v>
      </c>
      <c r="G35" s="20">
        <v>0</v>
      </c>
      <c r="H35" s="20"/>
      <c r="I35" s="20" t="s">
        <v>708</v>
      </c>
      <c r="J35" s="20" t="s">
        <v>708</v>
      </c>
      <c r="K35" s="20"/>
      <c r="L35" s="2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">
      <c r="A36" s="20"/>
      <c r="B36" s="20"/>
      <c r="C36" s="20"/>
      <c r="D36" s="20" t="s">
        <v>707</v>
      </c>
      <c r="E36" s="21">
        <v>0</v>
      </c>
      <c r="F36" s="20">
        <v>0</v>
      </c>
      <c r="G36" s="20">
        <v>0</v>
      </c>
      <c r="H36" s="20"/>
      <c r="I36" s="20" t="s">
        <v>708</v>
      </c>
      <c r="J36" s="20" t="s">
        <v>708</v>
      </c>
      <c r="K36" s="20"/>
      <c r="L36" s="20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">
      <c r="A37" s="20"/>
      <c r="B37" s="20"/>
      <c r="C37" s="20"/>
      <c r="D37" s="20" t="s">
        <v>707</v>
      </c>
      <c r="E37" s="21">
        <v>0</v>
      </c>
      <c r="F37" s="20">
        <v>0</v>
      </c>
      <c r="G37" s="20">
        <v>0</v>
      </c>
      <c r="H37" s="20"/>
      <c r="I37" s="20" t="s">
        <v>708</v>
      </c>
      <c r="J37" s="20" t="s">
        <v>708</v>
      </c>
      <c r="K37" s="20"/>
      <c r="L37" s="20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">
      <c r="A38" s="20"/>
      <c r="B38" s="20"/>
      <c r="C38" s="20"/>
      <c r="D38" s="20" t="s">
        <v>707</v>
      </c>
      <c r="E38" s="21">
        <v>0</v>
      </c>
      <c r="F38" s="20">
        <v>0</v>
      </c>
      <c r="G38" s="20">
        <v>0</v>
      </c>
      <c r="H38" s="20"/>
      <c r="I38" s="20" t="s">
        <v>708</v>
      </c>
      <c r="J38" s="20" t="s">
        <v>708</v>
      </c>
      <c r="K38" s="20"/>
      <c r="L38" s="2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">
      <c r="A39" s="20"/>
      <c r="B39" s="20"/>
      <c r="C39" s="20"/>
      <c r="D39" s="20" t="s">
        <v>707</v>
      </c>
      <c r="E39" s="21">
        <v>0</v>
      </c>
      <c r="F39" s="20">
        <v>0</v>
      </c>
      <c r="G39" s="20">
        <v>0</v>
      </c>
      <c r="H39" s="20"/>
      <c r="I39" s="20" t="s">
        <v>708</v>
      </c>
      <c r="J39" s="20" t="s">
        <v>708</v>
      </c>
      <c r="K39" s="20"/>
      <c r="L39" s="2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">
      <c r="A40" s="20"/>
      <c r="B40" s="20"/>
      <c r="C40" s="20"/>
      <c r="D40" s="20" t="s">
        <v>707</v>
      </c>
      <c r="E40" s="21">
        <v>0</v>
      </c>
      <c r="F40" s="20">
        <v>0</v>
      </c>
      <c r="G40" s="20">
        <v>0</v>
      </c>
      <c r="H40" s="20"/>
      <c r="I40" s="20" t="s">
        <v>708</v>
      </c>
      <c r="J40" s="20" t="s">
        <v>708</v>
      </c>
      <c r="K40" s="20"/>
      <c r="L40" s="2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">
      <c r="A41" s="20"/>
      <c r="B41" s="20"/>
      <c r="C41" s="20"/>
      <c r="D41" s="20" t="s">
        <v>707</v>
      </c>
      <c r="E41" s="21">
        <v>0</v>
      </c>
      <c r="F41" s="20">
        <v>0</v>
      </c>
      <c r="G41" s="20">
        <v>0</v>
      </c>
      <c r="H41" s="20"/>
      <c r="I41" s="20" t="s">
        <v>708</v>
      </c>
      <c r="J41" s="20" t="s">
        <v>708</v>
      </c>
      <c r="K41" s="20"/>
      <c r="L41" s="20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">
      <c r="A42" s="20"/>
      <c r="B42" s="20"/>
      <c r="C42" s="20"/>
      <c r="D42" s="20" t="s">
        <v>707</v>
      </c>
      <c r="E42" s="21">
        <v>0</v>
      </c>
      <c r="F42" s="20">
        <v>0</v>
      </c>
      <c r="G42" s="20">
        <v>0</v>
      </c>
      <c r="H42" s="20"/>
      <c r="I42" s="20" t="s">
        <v>708</v>
      </c>
      <c r="J42" s="20" t="s">
        <v>708</v>
      </c>
      <c r="K42" s="20"/>
      <c r="L42" s="20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">
      <c r="A43" s="20"/>
      <c r="B43" s="20"/>
      <c r="C43" s="20"/>
      <c r="D43" s="20" t="s">
        <v>707</v>
      </c>
      <c r="E43" s="21">
        <v>0</v>
      </c>
      <c r="F43" s="20">
        <v>0</v>
      </c>
      <c r="G43" s="20">
        <v>0</v>
      </c>
      <c r="H43" s="20"/>
      <c r="I43" s="20" t="s">
        <v>708</v>
      </c>
      <c r="J43" s="20" t="s">
        <v>708</v>
      </c>
      <c r="K43" s="20"/>
      <c r="L43" s="20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4.4">
      <c r="A44" s="20"/>
      <c r="B44" s="20"/>
      <c r="C44" s="20"/>
      <c r="D44" s="20" t="s">
        <v>707</v>
      </c>
      <c r="E44" s="21">
        <v>0</v>
      </c>
      <c r="F44" s="20">
        <v>0</v>
      </c>
      <c r="G44" s="20">
        <v>0</v>
      </c>
      <c r="H44" s="20"/>
      <c r="I44" s="20" t="s">
        <v>708</v>
      </c>
      <c r="J44" s="20" t="s">
        <v>708</v>
      </c>
      <c r="K44" s="20"/>
      <c r="L44" s="2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4.4">
      <c r="A45" s="20"/>
      <c r="B45" s="20"/>
      <c r="C45" s="20"/>
      <c r="D45" s="20" t="s">
        <v>707</v>
      </c>
      <c r="E45" s="21">
        <v>0</v>
      </c>
      <c r="F45" s="20">
        <v>0</v>
      </c>
      <c r="G45" s="20">
        <v>0</v>
      </c>
      <c r="H45" s="20"/>
      <c r="I45" s="20" t="s">
        <v>708</v>
      </c>
      <c r="J45" s="20" t="s">
        <v>708</v>
      </c>
      <c r="K45" s="20"/>
      <c r="L45" s="2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4.4">
      <c r="A46" s="20"/>
      <c r="B46" s="20"/>
      <c r="C46" s="20"/>
      <c r="D46" s="20" t="s">
        <v>707</v>
      </c>
      <c r="E46" s="21">
        <v>0</v>
      </c>
      <c r="F46" s="20">
        <v>0</v>
      </c>
      <c r="G46" s="20">
        <v>0</v>
      </c>
      <c r="H46" s="20"/>
      <c r="I46" s="20" t="s">
        <v>708</v>
      </c>
      <c r="J46" s="20" t="s">
        <v>708</v>
      </c>
      <c r="K46" s="20"/>
      <c r="L46" s="2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4.4">
      <c r="A47" s="20"/>
      <c r="B47" s="20"/>
      <c r="C47" s="20"/>
      <c r="D47" s="20" t="s">
        <v>707</v>
      </c>
      <c r="E47" s="21">
        <v>0</v>
      </c>
      <c r="F47" s="20">
        <v>0</v>
      </c>
      <c r="G47" s="20">
        <v>0</v>
      </c>
      <c r="H47" s="20"/>
      <c r="I47" s="20" t="s">
        <v>708</v>
      </c>
      <c r="J47" s="20" t="s">
        <v>708</v>
      </c>
      <c r="K47" s="20"/>
      <c r="L47" s="2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4.4">
      <c r="A48" s="20"/>
      <c r="B48" s="20"/>
      <c r="C48" s="20"/>
      <c r="D48" s="20" t="s">
        <v>707</v>
      </c>
      <c r="E48" s="21">
        <v>0</v>
      </c>
      <c r="F48" s="20">
        <v>0</v>
      </c>
      <c r="G48" s="20">
        <v>0</v>
      </c>
      <c r="H48" s="20"/>
      <c r="I48" s="20" t="s">
        <v>708</v>
      </c>
      <c r="J48" s="20" t="s">
        <v>708</v>
      </c>
      <c r="K48" s="20"/>
      <c r="L48" s="2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4.4">
      <c r="A49" s="20"/>
      <c r="B49" s="20"/>
      <c r="C49" s="20"/>
      <c r="D49" s="20" t="s">
        <v>707</v>
      </c>
      <c r="E49" s="21">
        <v>0</v>
      </c>
      <c r="F49" s="20">
        <v>0</v>
      </c>
      <c r="G49" s="20">
        <v>0</v>
      </c>
      <c r="H49" s="20"/>
      <c r="I49" s="20" t="s">
        <v>708</v>
      </c>
      <c r="J49" s="20" t="s">
        <v>708</v>
      </c>
      <c r="K49" s="20"/>
      <c r="L49" s="20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4.4">
      <c r="A50" s="20"/>
      <c r="B50" s="20"/>
      <c r="C50" s="20"/>
      <c r="D50" s="20" t="s">
        <v>707</v>
      </c>
      <c r="E50" s="21">
        <v>0</v>
      </c>
      <c r="F50" s="20">
        <v>0</v>
      </c>
      <c r="G50" s="20">
        <v>0</v>
      </c>
      <c r="H50" s="20"/>
      <c r="I50" s="20" t="s">
        <v>708</v>
      </c>
      <c r="J50" s="20" t="s">
        <v>708</v>
      </c>
      <c r="K50" s="20"/>
      <c r="L50" s="20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4.4">
      <c r="A51" s="20"/>
      <c r="B51" s="20"/>
      <c r="C51" s="20"/>
      <c r="D51" s="20" t="s">
        <v>707</v>
      </c>
      <c r="E51" s="21">
        <v>0</v>
      </c>
      <c r="F51" s="20">
        <v>0</v>
      </c>
      <c r="G51" s="20">
        <v>0</v>
      </c>
      <c r="H51" s="20"/>
      <c r="I51" s="20" t="s">
        <v>708</v>
      </c>
      <c r="J51" s="20" t="s">
        <v>708</v>
      </c>
      <c r="K51" s="20"/>
      <c r="L51" s="2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4.4">
      <c r="A52" s="20"/>
      <c r="B52" s="20"/>
      <c r="C52" s="20"/>
      <c r="D52" s="20" t="s">
        <v>707</v>
      </c>
      <c r="E52" s="21">
        <v>0</v>
      </c>
      <c r="F52" s="20">
        <v>0</v>
      </c>
      <c r="G52" s="20">
        <v>0</v>
      </c>
      <c r="H52" s="20"/>
      <c r="I52" s="20" t="s">
        <v>708</v>
      </c>
      <c r="J52" s="20" t="s">
        <v>708</v>
      </c>
      <c r="K52" s="20"/>
      <c r="L52" s="2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4.4">
      <c r="A53" s="20"/>
      <c r="B53" s="20"/>
      <c r="C53" s="20"/>
      <c r="D53" s="20" t="s">
        <v>707</v>
      </c>
      <c r="E53" s="21">
        <v>0</v>
      </c>
      <c r="F53" s="20">
        <v>0</v>
      </c>
      <c r="G53" s="20">
        <v>0</v>
      </c>
      <c r="H53" s="20"/>
      <c r="I53" s="20" t="s">
        <v>708</v>
      </c>
      <c r="J53" s="20" t="s">
        <v>708</v>
      </c>
      <c r="K53" s="20"/>
      <c r="L53" s="2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4.4">
      <c r="A54" s="20"/>
      <c r="B54" s="20"/>
      <c r="C54" s="20"/>
      <c r="D54" s="20" t="s">
        <v>707</v>
      </c>
      <c r="E54" s="21">
        <v>0</v>
      </c>
      <c r="F54" s="20">
        <v>0</v>
      </c>
      <c r="G54" s="20">
        <v>0</v>
      </c>
      <c r="H54" s="20"/>
      <c r="I54" s="20" t="s">
        <v>708</v>
      </c>
      <c r="J54" s="20" t="s">
        <v>708</v>
      </c>
      <c r="K54" s="20"/>
      <c r="L54" s="2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">
      <c r="A55" s="20"/>
      <c r="B55" s="20"/>
      <c r="C55" s="20"/>
      <c r="D55" s="20" t="s">
        <v>707</v>
      </c>
      <c r="E55" s="21">
        <v>0</v>
      </c>
      <c r="F55" s="20">
        <v>0</v>
      </c>
      <c r="G55" s="20">
        <v>0</v>
      </c>
      <c r="H55" s="20"/>
      <c r="I55" s="20" t="s">
        <v>708</v>
      </c>
      <c r="J55" s="20" t="s">
        <v>708</v>
      </c>
      <c r="K55" s="20"/>
      <c r="L55" s="2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4.4">
      <c r="A56" s="20"/>
      <c r="B56" s="20"/>
      <c r="C56" s="20"/>
      <c r="D56" s="20" t="s">
        <v>707</v>
      </c>
      <c r="E56" s="21">
        <v>0</v>
      </c>
      <c r="F56" s="20">
        <v>0</v>
      </c>
      <c r="G56" s="20">
        <v>0</v>
      </c>
      <c r="H56" s="20"/>
      <c r="I56" s="20" t="s">
        <v>708</v>
      </c>
      <c r="J56" s="20" t="s">
        <v>708</v>
      </c>
      <c r="K56" s="20"/>
      <c r="L56" s="20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4.4">
      <c r="A57" s="20"/>
      <c r="B57" s="20"/>
      <c r="C57" s="20"/>
      <c r="D57" s="20" t="s">
        <v>707</v>
      </c>
      <c r="E57" s="21">
        <v>0</v>
      </c>
      <c r="F57" s="20">
        <v>0</v>
      </c>
      <c r="G57" s="20">
        <v>0</v>
      </c>
      <c r="H57" s="20"/>
      <c r="I57" s="20" t="s">
        <v>708</v>
      </c>
      <c r="J57" s="20" t="s">
        <v>708</v>
      </c>
      <c r="K57" s="20"/>
      <c r="L57" s="2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4.4">
      <c r="A58" s="20"/>
      <c r="B58" s="20"/>
      <c r="C58" s="20"/>
      <c r="D58" s="20" t="s">
        <v>707</v>
      </c>
      <c r="E58" s="21">
        <v>0</v>
      </c>
      <c r="F58" s="20">
        <v>0</v>
      </c>
      <c r="G58" s="20">
        <v>0</v>
      </c>
      <c r="H58" s="20"/>
      <c r="I58" s="20" t="s">
        <v>708</v>
      </c>
      <c r="J58" s="20" t="s">
        <v>708</v>
      </c>
      <c r="K58" s="20"/>
      <c r="L58" s="2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4.4">
      <c r="A59" s="20"/>
      <c r="B59" s="20"/>
      <c r="C59" s="20"/>
      <c r="D59" s="20" t="s">
        <v>707</v>
      </c>
      <c r="E59" s="21">
        <v>0</v>
      </c>
      <c r="F59" s="20">
        <v>0</v>
      </c>
      <c r="G59" s="20">
        <v>0</v>
      </c>
      <c r="H59" s="20"/>
      <c r="I59" s="20" t="s">
        <v>708</v>
      </c>
      <c r="J59" s="20" t="s">
        <v>708</v>
      </c>
      <c r="K59" s="20"/>
      <c r="L59" s="20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4.4">
      <c r="A60" s="20"/>
      <c r="B60" s="20"/>
      <c r="C60" s="20"/>
      <c r="D60" s="20" t="s">
        <v>707</v>
      </c>
      <c r="E60" s="21">
        <v>0</v>
      </c>
      <c r="F60" s="20">
        <v>0</v>
      </c>
      <c r="G60" s="20">
        <v>0</v>
      </c>
      <c r="H60" s="20"/>
      <c r="I60" s="20" t="s">
        <v>708</v>
      </c>
      <c r="J60" s="20" t="s">
        <v>708</v>
      </c>
      <c r="K60" s="20"/>
      <c r="L60" s="20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4">
      <c r="A61" s="20"/>
      <c r="B61" s="20"/>
      <c r="C61" s="20"/>
      <c r="D61" s="20" t="s">
        <v>707</v>
      </c>
      <c r="E61" s="21">
        <v>0</v>
      </c>
      <c r="F61" s="20">
        <v>0</v>
      </c>
      <c r="G61" s="20">
        <v>0</v>
      </c>
      <c r="H61" s="20"/>
      <c r="I61" s="20" t="s">
        <v>708</v>
      </c>
      <c r="J61" s="20" t="s">
        <v>708</v>
      </c>
      <c r="K61" s="20"/>
      <c r="L61" s="2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4.4">
      <c r="A62" s="20"/>
      <c r="B62" s="20"/>
      <c r="C62" s="20"/>
      <c r="D62" s="20" t="s">
        <v>707</v>
      </c>
      <c r="E62" s="21">
        <v>0</v>
      </c>
      <c r="F62" s="20">
        <v>0</v>
      </c>
      <c r="G62" s="20">
        <v>0</v>
      </c>
      <c r="H62" s="20"/>
      <c r="I62" s="20" t="s">
        <v>708</v>
      </c>
      <c r="J62" s="20" t="s">
        <v>708</v>
      </c>
      <c r="K62" s="20"/>
      <c r="L62" s="20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4.4">
      <c r="A63" s="20"/>
      <c r="B63" s="20"/>
      <c r="C63" s="20"/>
      <c r="D63" s="20" t="s">
        <v>707</v>
      </c>
      <c r="E63" s="21">
        <v>0</v>
      </c>
      <c r="F63" s="20">
        <v>0</v>
      </c>
      <c r="G63" s="20">
        <v>0</v>
      </c>
      <c r="H63" s="20"/>
      <c r="I63" s="20" t="s">
        <v>708</v>
      </c>
      <c r="J63" s="20" t="s">
        <v>708</v>
      </c>
      <c r="K63" s="20"/>
      <c r="L63" s="20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4">
      <c r="A64" s="20"/>
      <c r="B64" s="20"/>
      <c r="C64" s="20"/>
      <c r="D64" s="20" t="s">
        <v>707</v>
      </c>
      <c r="E64" s="21">
        <v>0</v>
      </c>
      <c r="F64" s="20">
        <v>0</v>
      </c>
      <c r="G64" s="20">
        <v>0</v>
      </c>
      <c r="H64" s="20"/>
      <c r="I64" s="20" t="s">
        <v>708</v>
      </c>
      <c r="J64" s="20" t="s">
        <v>708</v>
      </c>
      <c r="K64" s="20"/>
      <c r="L64" s="2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4">
      <c r="A65" s="20"/>
      <c r="B65" s="20"/>
      <c r="C65" s="20"/>
      <c r="D65" s="20" t="s">
        <v>707</v>
      </c>
      <c r="E65" s="21">
        <v>0</v>
      </c>
      <c r="F65" s="20">
        <v>0</v>
      </c>
      <c r="G65" s="20">
        <v>0</v>
      </c>
      <c r="H65" s="20"/>
      <c r="I65" s="20" t="s">
        <v>708</v>
      </c>
      <c r="J65" s="20" t="s">
        <v>708</v>
      </c>
      <c r="K65" s="20"/>
      <c r="L65" s="2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4">
      <c r="A66" s="20"/>
      <c r="B66" s="20"/>
      <c r="C66" s="20"/>
      <c r="D66" s="20" t="s">
        <v>707</v>
      </c>
      <c r="E66" s="21">
        <v>0</v>
      </c>
      <c r="F66" s="20">
        <v>0</v>
      </c>
      <c r="G66" s="20">
        <v>0</v>
      </c>
      <c r="H66" s="20"/>
      <c r="I66" s="20" t="s">
        <v>708</v>
      </c>
      <c r="J66" s="20" t="s">
        <v>708</v>
      </c>
      <c r="K66" s="20"/>
      <c r="L66" s="2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4">
      <c r="A67" s="20"/>
      <c r="B67" s="20"/>
      <c r="C67" s="20"/>
      <c r="D67" s="20" t="s">
        <v>707</v>
      </c>
      <c r="E67" s="21">
        <v>0</v>
      </c>
      <c r="F67" s="20">
        <v>0</v>
      </c>
      <c r="G67" s="20">
        <v>0</v>
      </c>
      <c r="H67" s="20"/>
      <c r="I67" s="20" t="s">
        <v>708</v>
      </c>
      <c r="J67" s="20" t="s">
        <v>708</v>
      </c>
      <c r="K67" s="20"/>
      <c r="L67" s="2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4.4">
      <c r="A68" s="20"/>
      <c r="B68" s="20"/>
      <c r="C68" s="20"/>
      <c r="D68" s="20" t="s">
        <v>707</v>
      </c>
      <c r="E68" s="21">
        <v>0</v>
      </c>
      <c r="F68" s="20">
        <v>0</v>
      </c>
      <c r="G68" s="20">
        <v>0</v>
      </c>
      <c r="H68" s="20"/>
      <c r="I68" s="20" t="s">
        <v>708</v>
      </c>
      <c r="J68" s="20" t="s">
        <v>708</v>
      </c>
      <c r="K68" s="20"/>
      <c r="L68" s="20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4.4">
      <c r="A69" s="20"/>
      <c r="B69" s="20"/>
      <c r="C69" s="20"/>
      <c r="D69" s="20" t="s">
        <v>707</v>
      </c>
      <c r="E69" s="21">
        <v>0</v>
      </c>
      <c r="F69" s="20">
        <v>0</v>
      </c>
      <c r="G69" s="20">
        <v>0</v>
      </c>
      <c r="H69" s="20"/>
      <c r="I69" s="20" t="s">
        <v>708</v>
      </c>
      <c r="J69" s="20" t="s">
        <v>708</v>
      </c>
      <c r="K69" s="20"/>
      <c r="L69" s="20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4.4">
      <c r="A70" s="20"/>
      <c r="B70" s="20"/>
      <c r="C70" s="20"/>
      <c r="D70" s="20" t="s">
        <v>707</v>
      </c>
      <c r="E70" s="21">
        <v>0</v>
      </c>
      <c r="F70" s="20">
        <v>0</v>
      </c>
      <c r="G70" s="20">
        <v>0</v>
      </c>
      <c r="H70" s="20"/>
      <c r="I70" s="20" t="s">
        <v>708</v>
      </c>
      <c r="J70" s="20" t="s">
        <v>708</v>
      </c>
      <c r="K70" s="20"/>
      <c r="L70" s="20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.4">
      <c r="A71" s="20"/>
      <c r="B71" s="20"/>
      <c r="C71" s="20"/>
      <c r="D71" s="20" t="s">
        <v>707</v>
      </c>
      <c r="E71" s="21">
        <v>0</v>
      </c>
      <c r="F71" s="20">
        <v>0</v>
      </c>
      <c r="G71" s="20">
        <v>0</v>
      </c>
      <c r="H71" s="20"/>
      <c r="I71" s="20" t="s">
        <v>708</v>
      </c>
      <c r="J71" s="20" t="s">
        <v>708</v>
      </c>
      <c r="K71" s="20"/>
      <c r="L71" s="20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20"/>
      <c r="B72" s="20"/>
      <c r="C72" s="20"/>
      <c r="D72" s="20" t="s">
        <v>707</v>
      </c>
      <c r="E72" s="21">
        <v>0</v>
      </c>
      <c r="F72" s="20">
        <v>0</v>
      </c>
      <c r="G72" s="20">
        <v>0</v>
      </c>
      <c r="H72" s="20"/>
      <c r="I72" s="20" t="s">
        <v>708</v>
      </c>
      <c r="J72" s="20" t="s">
        <v>708</v>
      </c>
      <c r="K72" s="20"/>
      <c r="L72" s="2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20"/>
      <c r="B73" s="20"/>
      <c r="C73" s="20"/>
      <c r="D73" s="20" t="s">
        <v>707</v>
      </c>
      <c r="E73" s="21">
        <v>0</v>
      </c>
      <c r="F73" s="20">
        <v>0</v>
      </c>
      <c r="G73" s="20">
        <v>0</v>
      </c>
      <c r="H73" s="20"/>
      <c r="I73" s="20" t="s">
        <v>708</v>
      </c>
      <c r="J73" s="20" t="s">
        <v>708</v>
      </c>
      <c r="K73" s="20"/>
      <c r="L73" s="2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4.4">
      <c r="A74" s="20"/>
      <c r="B74" s="20"/>
      <c r="C74" s="20"/>
      <c r="D74" s="20" t="s">
        <v>707</v>
      </c>
      <c r="E74" s="21">
        <v>0</v>
      </c>
      <c r="F74" s="20">
        <v>0</v>
      </c>
      <c r="G74" s="20">
        <v>0</v>
      </c>
      <c r="H74" s="20"/>
      <c r="I74" s="20" t="s">
        <v>708</v>
      </c>
      <c r="J74" s="20" t="s">
        <v>708</v>
      </c>
      <c r="K74" s="20"/>
      <c r="L74" s="2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4.4">
      <c r="A75" s="20"/>
      <c r="B75" s="20"/>
      <c r="C75" s="20"/>
      <c r="D75" s="20" t="s">
        <v>707</v>
      </c>
      <c r="E75" s="21">
        <v>0</v>
      </c>
      <c r="F75" s="20">
        <v>0</v>
      </c>
      <c r="G75" s="20">
        <v>0</v>
      </c>
      <c r="H75" s="20"/>
      <c r="I75" s="20" t="s">
        <v>708</v>
      </c>
      <c r="J75" s="20" t="s">
        <v>708</v>
      </c>
      <c r="K75" s="20"/>
      <c r="L75" s="2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4.4">
      <c r="A76" s="20"/>
      <c r="B76" s="20"/>
      <c r="C76" s="20"/>
      <c r="D76" s="20" t="s">
        <v>707</v>
      </c>
      <c r="E76" s="21">
        <v>0</v>
      </c>
      <c r="F76" s="20">
        <v>0</v>
      </c>
      <c r="G76" s="20">
        <v>0</v>
      </c>
      <c r="H76" s="20"/>
      <c r="I76" s="20" t="s">
        <v>708</v>
      </c>
      <c r="J76" s="20" t="s">
        <v>708</v>
      </c>
      <c r="K76" s="20"/>
      <c r="L76" s="2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4.4">
      <c r="A77" s="20"/>
      <c r="B77" s="20"/>
      <c r="C77" s="20"/>
      <c r="D77" s="20" t="s">
        <v>707</v>
      </c>
      <c r="E77" s="21">
        <v>0</v>
      </c>
      <c r="F77" s="20">
        <v>0</v>
      </c>
      <c r="G77" s="20">
        <v>0</v>
      </c>
      <c r="H77" s="20"/>
      <c r="I77" s="20" t="s">
        <v>708</v>
      </c>
      <c r="J77" s="20" t="s">
        <v>708</v>
      </c>
      <c r="K77" s="20"/>
      <c r="L77" s="2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4.4">
      <c r="A78" s="20"/>
      <c r="B78" s="20"/>
      <c r="C78" s="20"/>
      <c r="D78" s="20" t="s">
        <v>707</v>
      </c>
      <c r="E78" s="21">
        <v>0</v>
      </c>
      <c r="F78" s="20">
        <v>0</v>
      </c>
      <c r="G78" s="20">
        <v>0</v>
      </c>
      <c r="H78" s="20"/>
      <c r="I78" s="20" t="s">
        <v>708</v>
      </c>
      <c r="J78" s="20" t="s">
        <v>708</v>
      </c>
      <c r="K78" s="20"/>
      <c r="L78" s="2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4.4">
      <c r="A79" s="20"/>
      <c r="B79" s="20"/>
      <c r="C79" s="20"/>
      <c r="D79" s="20" t="s">
        <v>707</v>
      </c>
      <c r="E79" s="21">
        <v>0</v>
      </c>
      <c r="F79" s="20">
        <v>0</v>
      </c>
      <c r="G79" s="20">
        <v>0</v>
      </c>
      <c r="H79" s="20"/>
      <c r="I79" s="20" t="s">
        <v>708</v>
      </c>
      <c r="J79" s="20" t="s">
        <v>708</v>
      </c>
      <c r="K79" s="20"/>
      <c r="L79" s="2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4.4">
      <c r="A80" s="20"/>
      <c r="B80" s="20"/>
      <c r="C80" s="20"/>
      <c r="D80" s="20" t="s">
        <v>707</v>
      </c>
      <c r="E80" s="21">
        <v>0</v>
      </c>
      <c r="F80" s="20">
        <v>0</v>
      </c>
      <c r="G80" s="20">
        <v>0</v>
      </c>
      <c r="H80" s="20"/>
      <c r="I80" s="20" t="s">
        <v>708</v>
      </c>
      <c r="J80" s="20" t="s">
        <v>708</v>
      </c>
      <c r="K80" s="20"/>
      <c r="L80" s="2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4.4">
      <c r="A81" s="20"/>
      <c r="B81" s="20"/>
      <c r="C81" s="20"/>
      <c r="D81" s="20" t="s">
        <v>707</v>
      </c>
      <c r="E81" s="21">
        <v>0</v>
      </c>
      <c r="F81" s="20">
        <v>0</v>
      </c>
      <c r="G81" s="20">
        <v>0</v>
      </c>
      <c r="H81" s="20"/>
      <c r="I81" s="20" t="s">
        <v>708</v>
      </c>
      <c r="J81" s="20" t="s">
        <v>708</v>
      </c>
      <c r="K81" s="20"/>
      <c r="L81" s="2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4.4">
      <c r="A82" s="20"/>
      <c r="B82" s="20"/>
      <c r="C82" s="20"/>
      <c r="D82" s="20" t="s">
        <v>707</v>
      </c>
      <c r="E82" s="21">
        <v>0</v>
      </c>
      <c r="F82" s="20">
        <v>0</v>
      </c>
      <c r="G82" s="20">
        <v>0</v>
      </c>
      <c r="H82" s="20"/>
      <c r="I82" s="20" t="s">
        <v>708</v>
      </c>
      <c r="J82" s="20" t="s">
        <v>708</v>
      </c>
      <c r="K82" s="20"/>
      <c r="L82" s="2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4.4">
      <c r="A83" s="20"/>
      <c r="B83" s="20"/>
      <c r="C83" s="20"/>
      <c r="D83" s="20" t="s">
        <v>707</v>
      </c>
      <c r="E83" s="21">
        <v>0</v>
      </c>
      <c r="F83" s="20">
        <v>0</v>
      </c>
      <c r="G83" s="20">
        <v>0</v>
      </c>
      <c r="H83" s="20"/>
      <c r="I83" s="20" t="s">
        <v>708</v>
      </c>
      <c r="J83" s="20" t="s">
        <v>708</v>
      </c>
      <c r="K83" s="20"/>
      <c r="L83" s="20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4.4">
      <c r="A84" s="20"/>
      <c r="B84" s="20"/>
      <c r="C84" s="20"/>
      <c r="D84" s="20" t="s">
        <v>707</v>
      </c>
      <c r="E84" s="21">
        <v>0</v>
      </c>
      <c r="F84" s="20">
        <v>0</v>
      </c>
      <c r="G84" s="20">
        <v>0</v>
      </c>
      <c r="H84" s="20"/>
      <c r="I84" s="20" t="s">
        <v>708</v>
      </c>
      <c r="J84" s="20" t="s">
        <v>708</v>
      </c>
      <c r="K84" s="20"/>
      <c r="L84" s="2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4.4">
      <c r="A85" s="20"/>
      <c r="B85" s="20"/>
      <c r="C85" s="20"/>
      <c r="D85" s="20" t="s">
        <v>707</v>
      </c>
      <c r="E85" s="21">
        <v>0</v>
      </c>
      <c r="F85" s="20">
        <v>0</v>
      </c>
      <c r="G85" s="20">
        <v>0</v>
      </c>
      <c r="H85" s="20"/>
      <c r="I85" s="20" t="s">
        <v>708</v>
      </c>
      <c r="J85" s="20" t="s">
        <v>708</v>
      </c>
      <c r="K85" s="20"/>
      <c r="L85" s="20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4.4">
      <c r="A86" s="20"/>
      <c r="B86" s="20"/>
      <c r="C86" s="20"/>
      <c r="D86" s="20" t="s">
        <v>707</v>
      </c>
      <c r="E86" s="21">
        <v>0</v>
      </c>
      <c r="F86" s="20">
        <v>0</v>
      </c>
      <c r="G86" s="20">
        <v>0</v>
      </c>
      <c r="H86" s="20"/>
      <c r="I86" s="20" t="s">
        <v>708</v>
      </c>
      <c r="J86" s="20" t="s">
        <v>708</v>
      </c>
      <c r="K86" s="20"/>
      <c r="L86" s="2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4.4">
      <c r="A87" s="20"/>
      <c r="B87" s="20"/>
      <c r="C87" s="20"/>
      <c r="D87" s="20" t="s">
        <v>707</v>
      </c>
      <c r="E87" s="21">
        <v>0</v>
      </c>
      <c r="F87" s="20">
        <v>0</v>
      </c>
      <c r="G87" s="20">
        <v>0</v>
      </c>
      <c r="H87" s="20"/>
      <c r="I87" s="20" t="s">
        <v>708</v>
      </c>
      <c r="J87" s="20" t="s">
        <v>708</v>
      </c>
      <c r="K87" s="20"/>
      <c r="L87" s="2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4.4">
      <c r="A88" s="20"/>
      <c r="B88" s="20"/>
      <c r="C88" s="20"/>
      <c r="D88" s="20" t="s">
        <v>707</v>
      </c>
      <c r="E88" s="21">
        <v>0</v>
      </c>
      <c r="F88" s="20">
        <v>0</v>
      </c>
      <c r="G88" s="20">
        <v>0</v>
      </c>
      <c r="H88" s="20"/>
      <c r="I88" s="20" t="s">
        <v>708</v>
      </c>
      <c r="J88" s="20" t="s">
        <v>708</v>
      </c>
      <c r="K88" s="20"/>
      <c r="L88" s="2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4.4">
      <c r="A89" s="20"/>
      <c r="B89" s="20"/>
      <c r="C89" s="20"/>
      <c r="D89" s="20" t="s">
        <v>707</v>
      </c>
      <c r="E89" s="21">
        <v>0</v>
      </c>
      <c r="F89" s="20">
        <v>0</v>
      </c>
      <c r="G89" s="20">
        <v>0</v>
      </c>
      <c r="H89" s="20"/>
      <c r="I89" s="20" t="s">
        <v>708</v>
      </c>
      <c r="J89" s="20" t="s">
        <v>708</v>
      </c>
      <c r="K89" s="20"/>
      <c r="L89" s="20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4.4">
      <c r="A90" s="20"/>
      <c r="B90" s="20"/>
      <c r="C90" s="20"/>
      <c r="D90" s="20" t="s">
        <v>707</v>
      </c>
      <c r="E90" s="21">
        <v>0</v>
      </c>
      <c r="F90" s="20">
        <v>0</v>
      </c>
      <c r="G90" s="20">
        <v>0</v>
      </c>
      <c r="H90" s="20"/>
      <c r="I90" s="20" t="s">
        <v>708</v>
      </c>
      <c r="J90" s="20" t="s">
        <v>708</v>
      </c>
      <c r="K90" s="20"/>
      <c r="L90" s="2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4.4">
      <c r="A91" s="20"/>
      <c r="B91" s="20"/>
      <c r="C91" s="20"/>
      <c r="D91" s="20" t="s">
        <v>707</v>
      </c>
      <c r="E91" s="21">
        <v>0</v>
      </c>
      <c r="F91" s="20">
        <v>0</v>
      </c>
      <c r="G91" s="20">
        <v>0</v>
      </c>
      <c r="H91" s="20"/>
      <c r="I91" s="20" t="s">
        <v>708</v>
      </c>
      <c r="J91" s="20" t="s">
        <v>708</v>
      </c>
      <c r="K91" s="20"/>
      <c r="L91" s="2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4.4">
      <c r="A92" s="20"/>
      <c r="B92" s="20"/>
      <c r="C92" s="20"/>
      <c r="D92" s="20" t="s">
        <v>707</v>
      </c>
      <c r="E92" s="21">
        <v>0</v>
      </c>
      <c r="F92" s="20">
        <v>0</v>
      </c>
      <c r="G92" s="20">
        <v>0</v>
      </c>
      <c r="H92" s="20"/>
      <c r="I92" s="20" t="s">
        <v>708</v>
      </c>
      <c r="J92" s="20" t="s">
        <v>708</v>
      </c>
      <c r="K92" s="20"/>
      <c r="L92" s="2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4.4">
      <c r="A93" s="20"/>
      <c r="B93" s="20"/>
      <c r="C93" s="20"/>
      <c r="D93" s="20" t="s">
        <v>707</v>
      </c>
      <c r="E93" s="21">
        <v>0</v>
      </c>
      <c r="F93" s="20">
        <v>0</v>
      </c>
      <c r="G93" s="20">
        <v>0</v>
      </c>
      <c r="H93" s="20"/>
      <c r="I93" s="20" t="s">
        <v>708</v>
      </c>
      <c r="J93" s="20" t="s">
        <v>708</v>
      </c>
      <c r="K93" s="20"/>
      <c r="L93" s="2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4.4">
      <c r="A94" s="20"/>
      <c r="B94" s="20"/>
      <c r="C94" s="20"/>
      <c r="D94" s="20" t="s">
        <v>707</v>
      </c>
      <c r="E94" s="21">
        <v>0</v>
      </c>
      <c r="F94" s="20">
        <v>0</v>
      </c>
      <c r="G94" s="20">
        <v>0</v>
      </c>
      <c r="H94" s="20"/>
      <c r="I94" s="20" t="s">
        <v>708</v>
      </c>
      <c r="J94" s="20" t="s">
        <v>708</v>
      </c>
      <c r="K94" s="20"/>
      <c r="L94" s="20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4.4">
      <c r="A95" s="20"/>
      <c r="B95" s="20"/>
      <c r="C95" s="20"/>
      <c r="D95" s="20" t="s">
        <v>707</v>
      </c>
      <c r="E95" s="21">
        <v>0</v>
      </c>
      <c r="F95" s="20">
        <v>0</v>
      </c>
      <c r="G95" s="20">
        <v>0</v>
      </c>
      <c r="H95" s="20"/>
      <c r="I95" s="20" t="s">
        <v>708</v>
      </c>
      <c r="J95" s="20" t="s">
        <v>708</v>
      </c>
      <c r="K95" s="20"/>
      <c r="L95" s="2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4.4">
      <c r="A96" s="20"/>
      <c r="B96" s="20"/>
      <c r="C96" s="20"/>
      <c r="D96" s="20" t="s">
        <v>707</v>
      </c>
      <c r="E96" s="21">
        <v>0</v>
      </c>
      <c r="F96" s="20">
        <v>0</v>
      </c>
      <c r="G96" s="20">
        <v>0</v>
      </c>
      <c r="H96" s="20"/>
      <c r="I96" s="20" t="s">
        <v>708</v>
      </c>
      <c r="J96" s="20" t="s">
        <v>708</v>
      </c>
      <c r="K96" s="20"/>
      <c r="L96" s="2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4.4">
      <c r="A97" s="20"/>
      <c r="B97" s="20"/>
      <c r="C97" s="20"/>
      <c r="D97" s="20" t="s">
        <v>707</v>
      </c>
      <c r="E97" s="21">
        <v>0</v>
      </c>
      <c r="F97" s="20">
        <v>0</v>
      </c>
      <c r="G97" s="20">
        <v>0</v>
      </c>
      <c r="H97" s="20"/>
      <c r="I97" s="20" t="s">
        <v>708</v>
      </c>
      <c r="J97" s="20" t="s">
        <v>708</v>
      </c>
      <c r="K97" s="20"/>
      <c r="L97" s="2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4.4">
      <c r="A98" s="20"/>
      <c r="B98" s="20"/>
      <c r="C98" s="20"/>
      <c r="D98" s="20" t="s">
        <v>707</v>
      </c>
      <c r="E98" s="21">
        <v>0</v>
      </c>
      <c r="F98" s="20">
        <v>0</v>
      </c>
      <c r="G98" s="20">
        <v>0</v>
      </c>
      <c r="H98" s="20"/>
      <c r="I98" s="20" t="s">
        <v>708</v>
      </c>
      <c r="J98" s="20" t="s">
        <v>708</v>
      </c>
      <c r="K98" s="20"/>
      <c r="L98" s="2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4.4">
      <c r="A99" s="20"/>
      <c r="B99" s="20"/>
      <c r="C99" s="20"/>
      <c r="D99" s="20" t="s">
        <v>707</v>
      </c>
      <c r="E99" s="21">
        <v>0</v>
      </c>
      <c r="F99" s="20">
        <v>0</v>
      </c>
      <c r="G99" s="20">
        <v>0</v>
      </c>
      <c r="H99" s="20"/>
      <c r="I99" s="20" t="s">
        <v>708</v>
      </c>
      <c r="J99" s="20" t="s">
        <v>708</v>
      </c>
      <c r="K99" s="20"/>
      <c r="L99" s="2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4.4">
      <c r="A100" s="20"/>
      <c r="B100" s="20"/>
      <c r="C100" s="20"/>
      <c r="D100" s="20" t="s">
        <v>707</v>
      </c>
      <c r="E100" s="21">
        <v>0</v>
      </c>
      <c r="F100" s="20">
        <v>0</v>
      </c>
      <c r="G100" s="20">
        <v>0</v>
      </c>
      <c r="H100" s="20"/>
      <c r="I100" s="20" t="s">
        <v>708</v>
      </c>
      <c r="J100" s="20" t="s">
        <v>708</v>
      </c>
      <c r="K100" s="20"/>
      <c r="L100" s="2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4.4">
      <c r="A101" s="20"/>
      <c r="B101" s="20"/>
      <c r="C101" s="20"/>
      <c r="D101" s="20" t="s">
        <v>707</v>
      </c>
      <c r="E101" s="21">
        <v>0</v>
      </c>
      <c r="F101" s="20">
        <v>0</v>
      </c>
      <c r="G101" s="20">
        <v>0</v>
      </c>
      <c r="H101" s="20"/>
      <c r="I101" s="20" t="s">
        <v>708</v>
      </c>
      <c r="J101" s="20" t="s">
        <v>708</v>
      </c>
      <c r="K101" s="20"/>
      <c r="L101" s="2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Lists!$A$2:$A$159</xm:f>
          </x14:formula1>
          <xm:sqref>A2:A101</xm:sqref>
        </x14:dataValidation>
        <x14:dataValidation type="list" xr:uid="{00000000-0002-0000-0400-000001000000}">
          <x14:formula1>
            <xm:f>Lists!$J$2:$J$5</xm:f>
          </x14:formula1>
          <xm:sqref>D2:D101</xm:sqref>
        </x14:dataValidation>
        <x14:dataValidation type="list" xr:uid="{00000000-0002-0000-0400-000002000000}">
          <x14:formula1>
            <xm:f>Lists!$H$2:$H$4</xm:f>
          </x14:formula1>
          <xm:sqref>I2:J101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00"/>
  <sheetViews>
    <sheetView workbookViewId="0"/>
  </sheetViews>
  <sheetFormatPr defaultRowHeight="13.8"/>
  <cols>
    <col min="1" max="1" width="30" customWidth="1"/>
    <col min="2" max="2" width="44" customWidth="1"/>
    <col min="3" max="3" width="18" customWidth="1"/>
  </cols>
  <sheetData>
    <row r="1" spans="1:29" ht="18">
      <c r="A1" s="78" t="s">
        <v>709</v>
      </c>
      <c r="B1" s="67"/>
      <c r="C1" s="67"/>
      <c r="D1" s="67"/>
      <c r="E1" s="67"/>
      <c r="F1" s="6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5" t="s">
        <v>710</v>
      </c>
      <c r="B3" s="5" t="s">
        <v>711</v>
      </c>
      <c r="C3" s="5" t="s">
        <v>712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>
      <c r="A4" s="6" t="s">
        <v>70</v>
      </c>
      <c r="B4" s="4" t="s">
        <v>713</v>
      </c>
      <c r="C4" s="22">
        <f>'Project Inputs'!C8</f>
        <v>112000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6" t="s">
        <v>21</v>
      </c>
      <c r="B5" s="4" t="s">
        <v>713</v>
      </c>
      <c r="C5" s="22">
        <f>'Project Inputs'!C9</f>
        <v>285000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6" t="s">
        <v>714</v>
      </c>
      <c r="B6" s="4" t="s">
        <v>715</v>
      </c>
      <c r="C6" s="22">
        <f>SUM('Scope Builder'!U2:U251)</f>
        <v>96690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6" t="s">
        <v>716</v>
      </c>
      <c r="B7" s="4" t="s">
        <v>717</v>
      </c>
      <c r="C7" s="22">
        <f>C4*'Project Inputs'!C10</f>
        <v>2240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6" t="s">
        <v>718</v>
      </c>
      <c r="B8" s="4" t="s">
        <v>719</v>
      </c>
      <c r="C8" s="22">
        <f>C5*'Project Inputs'!C11</f>
        <v>22800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6" t="s">
        <v>720</v>
      </c>
      <c r="B9" s="4" t="s">
        <v>721</v>
      </c>
      <c r="C9" s="22">
        <f>'Project Inputs'!C12*'Project Inputs'!C13</f>
        <v>8500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6" t="s">
        <v>722</v>
      </c>
      <c r="B10" s="4" t="s">
        <v>713</v>
      </c>
      <c r="C10" s="22">
        <f>'Project Inputs'!C14</f>
        <v>4500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6" t="s">
        <v>25</v>
      </c>
      <c r="B11" s="4" t="s">
        <v>723</v>
      </c>
      <c r="C11" s="22">
        <f>SUM(C4,C6:C10)</f>
        <v>246730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6" t="s">
        <v>27</v>
      </c>
      <c r="B12" s="4" t="s">
        <v>724</v>
      </c>
      <c r="C12" s="22">
        <f>C5-C11</f>
        <v>38270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6" t="s">
        <v>29</v>
      </c>
      <c r="B13" s="4" t="s">
        <v>725</v>
      </c>
      <c r="C13" s="23">
        <f>IF(C5=0,0,C12/C5)</f>
        <v>0.13428070175438597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6" t="s">
        <v>31</v>
      </c>
      <c r="B14" s="4" t="s">
        <v>726</v>
      </c>
      <c r="C14" s="23">
        <f>IF(C11=0,0,C12/C11)</f>
        <v>0.15510882341020549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6" t="s">
        <v>33</v>
      </c>
      <c r="B15" s="4" t="s">
        <v>727</v>
      </c>
      <c r="C15" s="22">
        <f>C5*'Project Inputs'!C17-C6</f>
        <v>102810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6" t="s">
        <v>35</v>
      </c>
      <c r="B16" s="4" t="s">
        <v>728</v>
      </c>
      <c r="C16" s="22">
        <f>(C5-(C5*'Project Inputs'!C11)-C6-C9-C10-'Project Inputs'!C16)/(1+'Project Inputs'!C10)</f>
        <v>115205.88235294117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6" t="s">
        <v>37</v>
      </c>
      <c r="B17" s="4" t="s">
        <v>729</v>
      </c>
      <c r="C17" s="22">
        <f>C16-C4</f>
        <v>3205.8823529411748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">
      <c r="A18" s="6"/>
      <c r="B18" s="4"/>
      <c r="C18" s="2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">
      <c r="A20" s="80" t="s">
        <v>44</v>
      </c>
      <c r="B20" s="81"/>
      <c r="C20" s="81"/>
      <c r="D20" s="1"/>
      <c r="E20" s="1"/>
      <c r="F20" s="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4.4">
      <c r="A21" s="38" t="s">
        <v>710</v>
      </c>
      <c r="B21" s="38" t="s">
        <v>711</v>
      </c>
      <c r="C21" s="38" t="s">
        <v>712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.4">
      <c r="A22" s="4" t="s">
        <v>54</v>
      </c>
      <c r="B22" s="4" t="s">
        <v>713</v>
      </c>
      <c r="C22" s="39">
        <f>IF('Project Inputs'!G4="","",'Project Inputs'!G4)</f>
        <v>60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.4">
      <c r="A23" s="4" t="s">
        <v>59</v>
      </c>
      <c r="B23" s="4" t="s">
        <v>713</v>
      </c>
      <c r="C23" s="39">
        <f>IF('Project Inputs'!G5="","",'Project Inputs'!G5)</f>
        <v>72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.4">
      <c r="A24" s="4" t="s">
        <v>730</v>
      </c>
      <c r="B24" s="4" t="s">
        <v>731</v>
      </c>
      <c r="C24" s="39">
        <f>IF(OR(C22="",C23=""),"",C23-C22)</f>
        <v>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.4">
      <c r="A25" s="4" t="s">
        <v>63</v>
      </c>
      <c r="B25" s="4" t="s">
        <v>713</v>
      </c>
      <c r="C25" s="39">
        <f>IF('Project Inputs'!G6="","",'Project Inputs'!G6)</f>
        <v>128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">
      <c r="A26" s="4" t="s">
        <v>732</v>
      </c>
      <c r="B26" s="4" t="s">
        <v>733</v>
      </c>
      <c r="C26" s="40">
        <f>IF('Project Inputs'!C13=0,0,'Project Inputs'!C13/30.44)</f>
        <v>55.847568988173457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">
      <c r="A27" s="4" t="s">
        <v>734</v>
      </c>
      <c r="B27" s="4" t="s">
        <v>735</v>
      </c>
      <c r="C27" s="41">
        <f>IF('Project Inputs'!C6=0,0,C6/'Project Inputs'!C6)</f>
        <v>64.459999999999994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">
      <c r="A28" s="4" t="s">
        <v>736</v>
      </c>
      <c r="B28" s="4" t="s">
        <v>737</v>
      </c>
      <c r="C28" s="25">
        <f>SUM('Scope Builder'!U2:U251)-SUM('Scope Builder'!S2:S251)</f>
        <v>8790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">
      <c r="A29" s="4" t="s">
        <v>738</v>
      </c>
      <c r="B29" s="4" t="s">
        <v>739</v>
      </c>
      <c r="C29" s="25">
        <f>IF(C31="","",MAX(0,C31-SUM('Scope Builder'!S2:S251)))</f>
        <v>11900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">
      <c r="A30" s="4" t="s">
        <v>740</v>
      </c>
      <c r="B30" s="4" t="s">
        <v>741</v>
      </c>
      <c r="C30" s="25">
        <f>IF(C29="","",MAX(0,C28-C29))</f>
        <v>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">
      <c r="A31" s="4" t="s">
        <v>68</v>
      </c>
      <c r="B31" s="4" t="s">
        <v>713</v>
      </c>
      <c r="C31" s="25">
        <f>IF('Project Inputs'!G7="","",'Project Inputs'!G7)</f>
        <v>99800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">
      <c r="A32" s="4" t="s">
        <v>72</v>
      </c>
      <c r="B32" s="4" t="s">
        <v>713</v>
      </c>
      <c r="C32" s="25">
        <f>IF('Project Inputs'!G8="","",'Project Inputs'!G8)</f>
        <v>292000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">
      <c r="A33" s="4" t="s">
        <v>742</v>
      </c>
      <c r="B33" s="4" t="s">
        <v>743</v>
      </c>
      <c r="C33" s="25">
        <f>IF(C32="","",C32-C5)</f>
        <v>7000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">
      <c r="A34" s="4" t="s">
        <v>744</v>
      </c>
      <c r="B34" s="4" t="s">
        <v>745</v>
      </c>
      <c r="C34" s="25">
        <f>IF(C31="","",C31-C6)</f>
        <v>3110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">
      <c r="A35" s="4" t="s">
        <v>746</v>
      </c>
      <c r="B35" s="4" t="s">
        <v>747</v>
      </c>
      <c r="C35" s="26">
        <f>IF(OR(C6=0,C34=""),0,C34/C6)</f>
        <v>3.2164649912090185E-2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">
      <c r="A36" s="4" t="s">
        <v>748</v>
      </c>
      <c r="B36" s="4" t="s">
        <v>749</v>
      </c>
      <c r="C36" s="25">
        <f>IF(C25="","",C26*C25)</f>
        <v>7148.4888304862025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">
      <c r="A37" s="4" t="s">
        <v>750</v>
      </c>
      <c r="B37" s="4" t="s">
        <v>751</v>
      </c>
      <c r="C37" s="25">
        <f>IF(C32="","",C32*'Project Inputs'!C11)</f>
        <v>23360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">
      <c r="A38" s="4" t="s">
        <v>752</v>
      </c>
      <c r="B38" s="4" t="s">
        <v>723</v>
      </c>
      <c r="C38" s="25">
        <f>IF(OR(C31="",C32="",C25=""),"",C4+C31+C7+C37+C36+C10)</f>
        <v>249048.4888304862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">
      <c r="A39" s="4" t="s">
        <v>753</v>
      </c>
      <c r="B39" s="4" t="s">
        <v>754</v>
      </c>
      <c r="C39" s="25">
        <f>IF(OR(C32="",C38=""),"",C32-C38)</f>
        <v>42951.511169513804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">
      <c r="A40" s="4" t="s">
        <v>755</v>
      </c>
      <c r="B40" s="4" t="s">
        <v>756</v>
      </c>
      <c r="C40" s="25">
        <f>IF(OR(C39="",C25=0),"",C39/C25)</f>
        <v>335.55868101182659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4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4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4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4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4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4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4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4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4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4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4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4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4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4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4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4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4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4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4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4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4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mergeCells count="2">
    <mergeCell ref="A1:F1"/>
    <mergeCell ref="A20:C20"/>
  </mergeCells>
  <conditionalFormatting sqref="C17">
    <cfRule type="expression" dxfId="15" priority="1">
      <formula>C17&lt;0</formula>
    </cfRule>
    <cfRule type="expression" dxfId="14" priority="2">
      <formula>C17&gt;=0</formula>
    </cfRule>
  </conditionalFormatting>
  <conditionalFormatting sqref="C24">
    <cfRule type="expression" dxfId="13" priority="3">
      <formula>C24&gt;0</formula>
    </cfRule>
    <cfRule type="expression" dxfId="12" priority="4">
      <formula>C24&lt;=0</formula>
    </cfRule>
  </conditionalFormatting>
  <conditionalFormatting sqref="C33">
    <cfRule type="expression" dxfId="11" priority="5">
      <formula>C33&lt;0</formula>
    </cfRule>
    <cfRule type="expression" dxfId="10" priority="6">
      <formula>C33&gt;=0</formula>
    </cfRule>
  </conditionalFormatting>
  <conditionalFormatting sqref="C34">
    <cfRule type="expression" dxfId="9" priority="7">
      <formula>C34&gt;0</formula>
    </cfRule>
    <cfRule type="expression" dxfId="8" priority="8">
      <formula>C34&lt;=0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0"/>
  <sheetViews>
    <sheetView workbookViewId="0"/>
  </sheetViews>
  <sheetFormatPr defaultRowHeight="13.8"/>
  <cols>
    <col min="1" max="1" width="26" customWidth="1"/>
    <col min="2" max="2" width="55" customWidth="1"/>
    <col min="3" max="3" width="60" customWidth="1"/>
    <col min="4" max="4" width="14" customWidth="1"/>
  </cols>
  <sheetData>
    <row r="1" spans="1:29" ht="18">
      <c r="A1" s="82" t="s">
        <v>757</v>
      </c>
      <c r="B1" s="67"/>
      <c r="C1" s="67"/>
      <c r="D1" s="6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41.4">
      <c r="A3" s="27" t="s">
        <v>758</v>
      </c>
      <c r="B3" s="11" t="s">
        <v>759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27.6">
      <c r="A4" s="27" t="s">
        <v>760</v>
      </c>
      <c r="B4" s="11" t="s">
        <v>761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41.4">
      <c r="A5" s="27" t="s">
        <v>670</v>
      </c>
      <c r="B5" s="11" t="s">
        <v>762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41.4">
      <c r="A6" s="27" t="s">
        <v>682</v>
      </c>
      <c r="B6" s="11" t="s">
        <v>763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7.6">
      <c r="A7" s="27" t="s">
        <v>207</v>
      </c>
      <c r="B7" s="11" t="s">
        <v>764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41.4">
      <c r="A8" s="27" t="s">
        <v>765</v>
      </c>
      <c r="B8" s="11" t="s">
        <v>766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12" t="s">
        <v>110</v>
      </c>
      <c r="B10" s="12" t="s">
        <v>767</v>
      </c>
      <c r="C10" s="12" t="s">
        <v>768</v>
      </c>
      <c r="D10" s="12" t="s">
        <v>769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7.6">
      <c r="A11" s="11" t="s">
        <v>770</v>
      </c>
      <c r="B11" s="11" t="s">
        <v>771</v>
      </c>
      <c r="C11" s="11" t="s">
        <v>304</v>
      </c>
      <c r="D11" s="11" t="s">
        <v>772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7.6">
      <c r="A12" s="11" t="s">
        <v>773</v>
      </c>
      <c r="B12" s="11" t="s">
        <v>774</v>
      </c>
      <c r="C12" s="11" t="s">
        <v>459</v>
      </c>
      <c r="D12" s="11" t="s">
        <v>772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7.6">
      <c r="A13" s="11" t="s">
        <v>775</v>
      </c>
      <c r="B13" s="11" t="s">
        <v>776</v>
      </c>
      <c r="C13" s="11" t="s">
        <v>564</v>
      </c>
      <c r="D13" s="11" t="s">
        <v>772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7.6">
      <c r="A14" s="11" t="s">
        <v>777</v>
      </c>
      <c r="B14" s="11" t="s">
        <v>778</v>
      </c>
      <c r="C14" s="11" t="s">
        <v>281</v>
      </c>
      <c r="D14" s="11" t="s">
        <v>772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7.6">
      <c r="A15" s="11" t="s">
        <v>779</v>
      </c>
      <c r="B15" s="11" t="s">
        <v>780</v>
      </c>
      <c r="C15" s="11" t="s">
        <v>510</v>
      </c>
      <c r="D15" s="11" t="s">
        <v>772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7.6">
      <c r="A16" s="11" t="s">
        <v>781</v>
      </c>
      <c r="B16" s="11" t="s">
        <v>782</v>
      </c>
      <c r="C16" s="11" t="s">
        <v>594</v>
      </c>
      <c r="D16" s="11" t="s">
        <v>772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11" t="s">
        <v>783</v>
      </c>
      <c r="B17" s="11" t="s">
        <v>784</v>
      </c>
      <c r="C17" s="11" t="s">
        <v>264</v>
      </c>
      <c r="D17" s="11" t="s">
        <v>772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7.6">
      <c r="A18" s="11" t="s">
        <v>785</v>
      </c>
      <c r="B18" s="11" t="s">
        <v>786</v>
      </c>
      <c r="C18" s="11" t="s">
        <v>412</v>
      </c>
      <c r="D18" s="11" t="s">
        <v>772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7.6">
      <c r="A19" s="11" t="s">
        <v>787</v>
      </c>
      <c r="B19" s="11" t="s">
        <v>788</v>
      </c>
      <c r="C19" s="11" t="s">
        <v>423</v>
      </c>
      <c r="D19" s="11" t="s">
        <v>772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7.6">
      <c r="A20" s="11" t="s">
        <v>789</v>
      </c>
      <c r="B20" s="11" t="s">
        <v>790</v>
      </c>
      <c r="C20" s="11" t="s">
        <v>627</v>
      </c>
      <c r="D20" s="11" t="s">
        <v>772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7.6">
      <c r="A21" s="11" t="s">
        <v>791</v>
      </c>
      <c r="B21" s="11" t="s">
        <v>792</v>
      </c>
      <c r="C21" s="11" t="s">
        <v>535</v>
      </c>
      <c r="D21" s="11" t="s">
        <v>772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4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4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4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4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4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4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4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4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4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4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4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4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4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4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4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4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4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4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4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4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4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00"/>
  <sheetViews>
    <sheetView workbookViewId="0"/>
  </sheetViews>
  <sheetFormatPr defaultRowHeight="13.8"/>
  <sheetData>
    <row r="1" spans="1:29" ht="14.4">
      <c r="A1" s="5" t="s">
        <v>793</v>
      </c>
      <c r="B1" s="5" t="s">
        <v>794</v>
      </c>
      <c r="C1" s="5" t="s">
        <v>110</v>
      </c>
      <c r="D1" s="5" t="s">
        <v>111</v>
      </c>
      <c r="E1" s="5" t="s">
        <v>6</v>
      </c>
      <c r="F1" s="5" t="s">
        <v>119</v>
      </c>
      <c r="G1" s="5" t="s">
        <v>123</v>
      </c>
      <c r="H1" s="5" t="s">
        <v>795</v>
      </c>
      <c r="I1" s="5" t="s">
        <v>796</v>
      </c>
      <c r="J1" s="5" t="s">
        <v>699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4" t="s">
        <v>172</v>
      </c>
      <c r="B2" s="4" t="s">
        <v>155</v>
      </c>
      <c r="C2" s="4" t="s">
        <v>159</v>
      </c>
      <c r="D2" s="4" t="s">
        <v>175</v>
      </c>
      <c r="E2" s="4" t="s">
        <v>9</v>
      </c>
      <c r="F2" s="4" t="s">
        <v>115</v>
      </c>
      <c r="G2" s="4" t="s">
        <v>247</v>
      </c>
      <c r="H2" s="4" t="s">
        <v>155</v>
      </c>
      <c r="I2" s="4" t="s">
        <v>22</v>
      </c>
      <c r="J2" s="4" t="s">
        <v>707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4" t="s">
        <v>266</v>
      </c>
      <c r="B3" s="4" t="s">
        <v>161</v>
      </c>
      <c r="C3" s="4" t="s">
        <v>682</v>
      </c>
      <c r="D3" s="4" t="s">
        <v>117</v>
      </c>
      <c r="E3" s="4" t="s">
        <v>11</v>
      </c>
      <c r="F3" s="4" t="s">
        <v>116</v>
      </c>
      <c r="G3" s="4" t="s">
        <v>797</v>
      </c>
      <c r="H3" s="4" t="s">
        <v>161</v>
      </c>
      <c r="I3" s="4" t="s">
        <v>24</v>
      </c>
      <c r="J3" s="4" t="s">
        <v>798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>
      <c r="A4" s="4" t="s">
        <v>273</v>
      </c>
      <c r="B4" s="4"/>
      <c r="C4" s="4" t="s">
        <v>207</v>
      </c>
      <c r="D4" s="4" t="s">
        <v>160</v>
      </c>
      <c r="E4" s="4" t="s">
        <v>13</v>
      </c>
      <c r="F4" s="4" t="s">
        <v>117</v>
      </c>
      <c r="G4" s="4" t="s">
        <v>183</v>
      </c>
      <c r="H4" s="4" t="s">
        <v>708</v>
      </c>
      <c r="I4" s="4" t="s">
        <v>26</v>
      </c>
      <c r="J4" s="4" t="s">
        <v>799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4" t="s">
        <v>275</v>
      </c>
      <c r="B5" s="4"/>
      <c r="C5" s="4" t="s">
        <v>128</v>
      </c>
      <c r="D5" s="4" t="s">
        <v>115</v>
      </c>
      <c r="E5" s="4" t="s">
        <v>15</v>
      </c>
      <c r="F5" s="4" t="s">
        <v>162</v>
      </c>
      <c r="G5" s="4" t="s">
        <v>208</v>
      </c>
      <c r="H5" s="4"/>
      <c r="I5" s="4" t="s">
        <v>28</v>
      </c>
      <c r="J5" s="4" t="s">
        <v>800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4" t="s">
        <v>277</v>
      </c>
      <c r="B6" s="4"/>
      <c r="C6" s="4" t="s">
        <v>801</v>
      </c>
      <c r="D6" s="4"/>
      <c r="E6" s="4" t="s">
        <v>17</v>
      </c>
      <c r="F6" s="4" t="s">
        <v>182</v>
      </c>
      <c r="G6" s="4" t="s">
        <v>802</v>
      </c>
      <c r="H6" s="4"/>
      <c r="I6" s="4" t="s">
        <v>30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4" t="s">
        <v>283</v>
      </c>
      <c r="B7" s="4"/>
      <c r="C7" s="4" t="s">
        <v>803</v>
      </c>
      <c r="D7" s="4"/>
      <c r="E7" s="4"/>
      <c r="F7" s="4"/>
      <c r="G7" s="4" t="s">
        <v>163</v>
      </c>
      <c r="H7" s="4"/>
      <c r="I7" s="4" t="s">
        <v>32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4" t="s">
        <v>286</v>
      </c>
      <c r="B8" s="4"/>
      <c r="C8" s="4" t="s">
        <v>196</v>
      </c>
      <c r="D8" s="4"/>
      <c r="E8" s="4"/>
      <c r="F8" s="4"/>
      <c r="G8" s="4" t="s">
        <v>804</v>
      </c>
      <c r="H8" s="4"/>
      <c r="I8" s="4" t="s">
        <v>34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4" t="s">
        <v>289</v>
      </c>
      <c r="B9" s="4"/>
      <c r="C9" s="4"/>
      <c r="D9" s="4"/>
      <c r="E9" s="4"/>
      <c r="F9" s="4"/>
      <c r="G9" s="4"/>
      <c r="H9" s="4"/>
      <c r="I9" s="4" t="s">
        <v>36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4" t="s">
        <v>292</v>
      </c>
      <c r="B10" s="4"/>
      <c r="C10" s="4"/>
      <c r="D10" s="4"/>
      <c r="E10" s="4"/>
      <c r="F10" s="4"/>
      <c r="G10" s="4"/>
      <c r="H10" s="4"/>
      <c r="I10" s="4" t="s">
        <v>38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4" t="s">
        <v>296</v>
      </c>
      <c r="B11" s="4"/>
      <c r="C11" s="4"/>
      <c r="D11" s="4"/>
      <c r="E11" s="4"/>
      <c r="F11" s="4"/>
      <c r="G11" s="4"/>
      <c r="H11" s="4"/>
      <c r="I11" s="4" t="s">
        <v>39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4" t="s">
        <v>299</v>
      </c>
      <c r="B12" s="4"/>
      <c r="C12" s="4"/>
      <c r="D12" s="4"/>
      <c r="E12" s="4"/>
      <c r="F12" s="4"/>
      <c r="G12" s="4"/>
      <c r="H12" s="4"/>
      <c r="I12" s="4" t="s">
        <v>40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4" t="s">
        <v>179</v>
      </c>
      <c r="B13" s="4"/>
      <c r="C13" s="4"/>
      <c r="D13" s="4"/>
      <c r="E13" s="4"/>
      <c r="F13" s="4"/>
      <c r="G13" s="4"/>
      <c r="H13" s="4"/>
      <c r="I13" s="4" t="s">
        <v>41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4" t="s">
        <v>305</v>
      </c>
      <c r="B14" s="4"/>
      <c r="C14" s="4"/>
      <c r="D14" s="4"/>
      <c r="E14" s="4"/>
      <c r="F14" s="4"/>
      <c r="G14" s="4"/>
      <c r="H14" s="4"/>
      <c r="I14" s="4" t="s">
        <v>42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4" t="s">
        <v>308</v>
      </c>
      <c r="B15" s="4"/>
      <c r="C15" s="4"/>
      <c r="D15" s="4"/>
      <c r="E15" s="4"/>
      <c r="F15" s="4"/>
      <c r="G15" s="4"/>
      <c r="H15" s="4"/>
      <c r="I15" s="4" t="s">
        <v>43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4" t="s">
        <v>310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4" t="s">
        <v>312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">
      <c r="A18" s="4" t="s">
        <v>315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">
      <c r="A19" s="4" t="s">
        <v>318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">
      <c r="A20" s="4" t="s">
        <v>320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4.4">
      <c r="A21" s="4" t="s">
        <v>322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.4">
      <c r="A22" s="4" t="s">
        <v>327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.4">
      <c r="A23" s="4" t="s">
        <v>329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.4">
      <c r="A24" s="4" t="s">
        <v>333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.4">
      <c r="A25" s="4" t="s">
        <v>336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">
      <c r="A26" s="4" t="s">
        <v>342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">
      <c r="A27" s="4" t="s">
        <v>344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">
      <c r="A28" s="4" t="s">
        <v>346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">
      <c r="A29" s="4" t="s">
        <v>349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">
      <c r="A30" s="4" t="s">
        <v>352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">
      <c r="A31" s="4" t="s">
        <v>354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">
      <c r="A32" s="4" t="s">
        <v>358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">
      <c r="A33" s="4" t="s">
        <v>360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">
      <c r="A34" s="4" t="s">
        <v>362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">
      <c r="A35" s="4" t="s">
        <v>366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">
      <c r="A36" s="4" t="s">
        <v>241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">
      <c r="A37" s="4" t="s">
        <v>369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">
      <c r="A38" s="4" t="s">
        <v>373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">
      <c r="A39" s="4" t="s">
        <v>187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">
      <c r="A40" s="4" t="s">
        <v>379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">
      <c r="A41" s="4" t="s">
        <v>381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">
      <c r="A42" s="4" t="s">
        <v>383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">
      <c r="A43" s="4" t="s">
        <v>385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4.4">
      <c r="A44" s="4" t="s">
        <v>387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4.4">
      <c r="A45" s="4" t="s">
        <v>391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4.4">
      <c r="A46" s="4" t="s">
        <v>393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4.4">
      <c r="A47" s="4" t="s">
        <v>395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4.4">
      <c r="A48" s="4" t="s">
        <v>397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4.4">
      <c r="A49" s="4" t="s">
        <v>399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4.4">
      <c r="A50" s="4" t="s">
        <v>401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4.4">
      <c r="A51" s="4" t="s">
        <v>403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4.4">
      <c r="A52" s="4" t="s">
        <v>409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4.4">
      <c r="A53" s="4" t="s">
        <v>413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4.4">
      <c r="A54" s="4" t="s">
        <v>415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">
      <c r="A55" s="4" t="s">
        <v>418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4.4">
      <c r="A56" s="4" t="s">
        <v>420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4.4">
      <c r="A57" s="4" t="s">
        <v>424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4.4">
      <c r="A58" s="4" t="s">
        <v>426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4.4">
      <c r="A59" s="4" t="s">
        <v>193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4.4">
      <c r="A60" s="4" t="s">
        <v>429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4">
      <c r="A61" s="4" t="s">
        <v>431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4.4">
      <c r="A62" s="4" t="s">
        <v>435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4.4">
      <c r="A63" s="4" t="s">
        <v>437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4">
      <c r="A64" s="4" t="s">
        <v>439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4">
      <c r="A65" s="4" t="s">
        <v>441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4">
      <c r="A66" s="4" t="s">
        <v>445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4">
      <c r="A67" s="4" t="s">
        <v>447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4.4">
      <c r="A68" s="4" t="s">
        <v>449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4.4">
      <c r="A69" s="4" t="s">
        <v>452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4.4">
      <c r="A70" s="4" t="s">
        <v>200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.4">
      <c r="A71" s="4" t="s">
        <v>461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.4">
      <c r="A72" s="4" t="s">
        <v>463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.4">
      <c r="A73" s="4" t="s">
        <v>467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4.4">
      <c r="A74" s="4" t="s">
        <v>469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4.4">
      <c r="A75" s="4" t="s">
        <v>472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4.4">
      <c r="A76" s="4" t="s">
        <v>474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4.4">
      <c r="A77" s="4" t="s">
        <v>476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4.4">
      <c r="A78" s="4" t="s">
        <v>478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4.4">
      <c r="A79" s="4" t="s">
        <v>481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4.4">
      <c r="A80" s="4" t="s">
        <v>483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4.4">
      <c r="A81" s="4" t="s">
        <v>205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4.4">
      <c r="A82" s="4" t="s">
        <v>488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4.4">
      <c r="A83" s="4" t="s">
        <v>490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4.4">
      <c r="A84" s="4" t="s">
        <v>492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4.4">
      <c r="A85" s="4" t="s">
        <v>494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4.4">
      <c r="A86" s="4" t="s">
        <v>498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4.4">
      <c r="A87" s="4" t="s">
        <v>500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4.4">
      <c r="A88" s="4" t="s">
        <v>502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4.4">
      <c r="A89" s="4" t="s">
        <v>506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4.4">
      <c r="A90" s="4" t="s">
        <v>212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4.4">
      <c r="A91" s="4" t="s">
        <v>512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4.4">
      <c r="A92" s="4" t="s">
        <v>514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4.4">
      <c r="A93" s="4" t="s">
        <v>517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4.4">
      <c r="A94" s="4" t="s">
        <v>520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4.4">
      <c r="A95" s="4" t="s">
        <v>522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4.4">
      <c r="A96" s="4" t="s">
        <v>524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4.4">
      <c r="A97" s="4" t="s">
        <v>526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4.4">
      <c r="A98" s="4" t="s">
        <v>218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4.4">
      <c r="A99" s="4" t="s">
        <v>532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4.4">
      <c r="A100" s="4" t="s">
        <v>536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4.4">
      <c r="A101" s="4" t="s">
        <v>540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4.4">
      <c r="A102" s="4" t="s">
        <v>543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4.4">
      <c r="A103" s="4" t="s">
        <v>545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4.4">
      <c r="A104" s="4" t="s">
        <v>547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4.4">
      <c r="A105" s="4" t="s">
        <v>549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4.4">
      <c r="A106" s="4" t="s">
        <v>551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4.4">
      <c r="A107" s="4" t="s">
        <v>555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4.4">
      <c r="A108" s="4" t="s">
        <v>558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4.4">
      <c r="A109" s="4" t="s">
        <v>560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4.4">
      <c r="A110" s="4" t="s">
        <v>223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4.4">
      <c r="A111" s="4" t="s">
        <v>565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4.4">
      <c r="A112" s="4" t="s">
        <v>567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4.4">
      <c r="A113" s="4" t="s">
        <v>572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4.4">
      <c r="A114" s="4" t="s">
        <v>575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4.4">
      <c r="A115" s="4" t="s">
        <v>577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4.4">
      <c r="A116" s="4" t="s">
        <v>580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4.4">
      <c r="A117" s="4" t="s">
        <v>582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4.4">
      <c r="A118" s="4" t="s">
        <v>586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4.4">
      <c r="A119" s="4" t="s">
        <v>588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4.4">
      <c r="A120" s="4" t="s">
        <v>590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4.4">
      <c r="A121" s="4" t="s">
        <v>235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4">
      <c r="A122" s="4" t="s">
        <v>597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4">
      <c r="A123" s="4" t="s">
        <v>601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4">
      <c r="A124" s="4" t="s">
        <v>605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4">
      <c r="A125" s="4" t="s">
        <v>607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4">
      <c r="A126" s="4" t="s">
        <v>610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4">
      <c r="A127" s="4" t="s">
        <v>612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4">
      <c r="A128" s="4" t="s">
        <v>615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4">
      <c r="A129" s="4" t="s">
        <v>618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4">
      <c r="A130" s="4" t="s">
        <v>621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4">
      <c r="A131" s="4" t="s">
        <v>623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4">
      <c r="A132" s="4" t="s">
        <v>628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4">
      <c r="A133" s="4" t="s">
        <v>631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4">
      <c r="A134" s="4" t="s">
        <v>634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4">
      <c r="A135" s="4" t="s">
        <v>637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4">
      <c r="A136" s="4" t="s">
        <v>639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4">
      <c r="A137" s="4" t="s">
        <v>641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4">
      <c r="A138" s="4" t="s">
        <v>643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4">
      <c r="A139" s="4" t="s">
        <v>646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4">
      <c r="A140" s="4" t="s">
        <v>648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4">
      <c r="A141" s="4" t="s">
        <v>650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4">
      <c r="A142" s="4" t="s">
        <v>652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4">
      <c r="A143" s="4" t="s">
        <v>654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4">
      <c r="A144" s="4" t="s">
        <v>229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4">
      <c r="A145" s="4" t="s">
        <v>658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4">
      <c r="A146" s="4" t="s">
        <v>660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4">
      <c r="A147" s="4" t="s">
        <v>662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4">
      <c r="A148" s="4" t="s">
        <v>664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4">
      <c r="A149" s="4" t="s">
        <v>666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4">
      <c r="A150" s="4" t="s">
        <v>156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4">
      <c r="A151" s="4" t="s">
        <v>167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4">
      <c r="A152" s="4" t="s">
        <v>674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4">
      <c r="A153" s="4" t="s">
        <v>676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4">
      <c r="A154" s="4" t="s">
        <v>679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4">
      <c r="A155" s="4" t="s">
        <v>681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4">
      <c r="A156" s="4" t="s">
        <v>684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4">
      <c r="A157" s="4" t="s">
        <v>687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4">
      <c r="A158" s="4" t="s">
        <v>690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4">
      <c r="A159" s="4" t="s">
        <v>693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2"/>
  <sheetViews>
    <sheetView topLeftCell="A7" workbookViewId="0">
      <selection sqref="A1:L1"/>
    </sheetView>
  </sheetViews>
  <sheetFormatPr defaultRowHeight="13.8"/>
  <cols>
    <col min="1" max="1" width="28" customWidth="1"/>
    <col min="2" max="5" width="14" customWidth="1"/>
    <col min="6" max="6" width="28" customWidth="1"/>
    <col min="7" max="12" width="14" customWidth="1"/>
  </cols>
  <sheetData>
    <row r="1" spans="1:12" ht="15.6">
      <c r="A1" s="83" t="s">
        <v>805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>
      <c r="A2" s="88" t="s">
        <v>806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85" t="str">
        <f>"Material Cost"&amp;CHAR(10)&amp;TEXT(SUM('Scope Builder'!AM2:AM251),"$#,##0")</f>
        <v>Material Cost
$42,769</v>
      </c>
      <c r="B4" s="67"/>
      <c r="C4" s="67"/>
      <c r="D4" s="85" t="str">
        <f>"Labor Cost"&amp;CHAR(10)&amp;TEXT(SUM('Scope Builder'!AN2:AN251),"$#,##0")</f>
        <v>Labor Cost
$32,830</v>
      </c>
      <c r="E4" s="67"/>
      <c r="F4" s="67"/>
      <c r="G4" s="85" t="str">
        <f>"Other Cost"&amp;CHAR(10)&amp;TEXT(SUM('Scope Builder'!AO2:AO251),"$#,##0")</f>
        <v>Other Cost
$12,301</v>
      </c>
      <c r="H4" s="67"/>
      <c r="I4" s="67"/>
      <c r="J4" s="85" t="str">
        <f>"Contingency"&amp;CHAR(10)&amp;TEXT(SUM('Scope Builder'!AP2:AP251),"$#,##0")</f>
        <v>Contingency
$8,790</v>
      </c>
      <c r="K4" s="67"/>
      <c r="L4" s="67"/>
    </row>
    <row r="5" spans="1:12">
      <c r="A5" s="67"/>
      <c r="B5" s="72"/>
      <c r="C5" s="67"/>
      <c r="D5" s="67"/>
      <c r="E5" s="72"/>
      <c r="F5" s="67"/>
      <c r="G5" s="67"/>
      <c r="H5" s="72"/>
      <c r="I5" s="67"/>
      <c r="J5" s="67"/>
      <c r="K5" s="72"/>
      <c r="L5" s="67"/>
    </row>
    <row r="6" spans="1:1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85" t="str">
        <f>"Material %"&amp;CHAR(10)&amp;TEXT(IF(SUM('Scope Builder'!S2:S251)=0,0,SUM('Scope Builder'!AM2:AM251)/SUM('Scope Builder'!S2:S251)),"0.0%")</f>
        <v>Material %
48.7%</v>
      </c>
      <c r="B8" s="67"/>
      <c r="C8" s="67"/>
      <c r="D8" s="85" t="str">
        <f>"Labor %"&amp;CHAR(10)&amp;TEXT(IF(SUM('Scope Builder'!S2:S251)=0,0,SUM('Scope Builder'!AN2:AN251)/SUM('Scope Builder'!S2:S251)),"0.0%")</f>
        <v>Labor %
37.3%</v>
      </c>
      <c r="E8" s="67"/>
      <c r="F8" s="67"/>
      <c r="G8" s="85" t="str">
        <f>"Other %"&amp;CHAR(10)&amp;TEXT(IF(SUM('Scope Builder'!S2:S251)=0,0,SUM('Scope Builder'!AO2:AO251)/SUM('Scope Builder'!S2:S251)),"0.0%")</f>
        <v>Other %
14.0%</v>
      </c>
      <c r="H8" s="67"/>
      <c r="I8" s="67"/>
      <c r="J8" s="85" t="str">
        <f>"Labor / Material"&amp;CHAR(10)&amp;TEXT(IF(SUM('Scope Builder'!AM2:AM251)=0,0,SUM('Scope Builder'!AN2:AN251)/SUM('Scope Builder'!AM2:AM251)),"0.00x")</f>
        <v>Labor / Material
0.77x</v>
      </c>
      <c r="K8" s="67"/>
      <c r="L8" s="67"/>
    </row>
    <row r="9" spans="1:12">
      <c r="A9" s="67"/>
      <c r="B9" s="72"/>
      <c r="C9" s="67"/>
      <c r="D9" s="67"/>
      <c r="E9" s="72"/>
      <c r="F9" s="67"/>
      <c r="G9" s="67"/>
      <c r="H9" s="72"/>
      <c r="I9" s="67"/>
      <c r="J9" s="67"/>
      <c r="K9" s="72"/>
      <c r="L9" s="67"/>
    </row>
    <row r="10" spans="1:12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86" t="s">
        <v>807</v>
      </c>
      <c r="B12" s="67"/>
      <c r="C12" s="67"/>
      <c r="D12" s="67"/>
      <c r="E12" s="67"/>
      <c r="F12" s="67"/>
      <c r="G12" s="2"/>
      <c r="H12" s="2"/>
      <c r="I12" s="2"/>
      <c r="J12" s="2"/>
      <c r="K12" s="2"/>
      <c r="L12" s="2"/>
    </row>
    <row r="13" spans="1:12">
      <c r="A13" s="84" t="s">
        <v>808</v>
      </c>
      <c r="B13" s="67"/>
      <c r="C13" s="67"/>
      <c r="D13" s="91">
        <f>SUM('Scope Builder'!S2:S251)</f>
        <v>87900</v>
      </c>
      <c r="E13" s="67"/>
      <c r="F13" s="67"/>
      <c r="G13" s="2"/>
      <c r="H13" s="2"/>
      <c r="I13" s="2"/>
      <c r="J13" s="2"/>
      <c r="K13" s="2"/>
      <c r="L13" s="2"/>
    </row>
    <row r="14" spans="1:12">
      <c r="A14" s="84" t="s">
        <v>809</v>
      </c>
      <c r="B14" s="67"/>
      <c r="C14" s="67"/>
      <c r="D14" s="91">
        <f>SUM('Scope Builder'!U2:U251)</f>
        <v>96690</v>
      </c>
      <c r="E14" s="67"/>
      <c r="F14" s="67"/>
      <c r="G14" s="2"/>
      <c r="H14" s="2"/>
      <c r="I14" s="2"/>
      <c r="J14" s="2"/>
      <c r="K14" s="2"/>
      <c r="L14" s="2"/>
    </row>
    <row r="15" spans="1:12">
      <c r="A15" s="84" t="s">
        <v>810</v>
      </c>
      <c r="B15" s="67"/>
      <c r="C15" s="67"/>
      <c r="D15" s="90">
        <f>IF(SUM('Scope Builder'!U2:U251)=0,0,SUMIFS('Scope Builder'!U2:U251,'Scope Builder'!R2:R251,"Detailed Breakdown")/SUM('Scope Builder'!U2:U251))</f>
        <v>0.98350398179749721</v>
      </c>
      <c r="E15" s="67"/>
      <c r="F15" s="67"/>
      <c r="G15" s="2"/>
      <c r="H15" s="2"/>
      <c r="I15" s="2"/>
      <c r="J15" s="2"/>
      <c r="K15" s="2"/>
      <c r="L15" s="2"/>
    </row>
    <row r="16" spans="1:12">
      <c r="A16" s="84" t="s">
        <v>811</v>
      </c>
      <c r="B16" s="67"/>
      <c r="C16" s="67"/>
      <c r="D16" s="90">
        <f>IF(SUM('Scope Builder'!U2:U251)=0,0,SUMIFS('Scope Builder'!U2:U251,'Scope Builder'!R2:R251,"Contractor Quote")/SUM('Scope Builder'!U2:U251))</f>
        <v>1.6496018202502846E-2</v>
      </c>
      <c r="E16" s="67"/>
      <c r="F16" s="67"/>
      <c r="G16" s="2"/>
      <c r="H16" s="2"/>
      <c r="I16" s="2"/>
      <c r="J16" s="2"/>
      <c r="K16" s="2"/>
      <c r="L16" s="2"/>
    </row>
    <row r="17" spans="1:12">
      <c r="A17" s="84" t="s">
        <v>812</v>
      </c>
      <c r="B17" s="67"/>
      <c r="C17" s="67"/>
      <c r="D17" s="90">
        <f>IF(SUM('Scope Builder'!U2:U251)=0,0,SUMIFS('Scope Builder'!U2:U251,'Scope Builder'!R2:R251,"Low")/SUM('Scope Builder'!U2:U251)+SUMIFS('Scope Builder'!U2:U251,'Scope Builder'!R2:R251,"Typical")/SUM('Scope Builder'!U2:U251)+SUMIFS('Scope Builder'!U2:U251,'Scope Builder'!R2:R251,"High")/SUM('Scope Builder'!U2:U251))</f>
        <v>0</v>
      </c>
      <c r="E17" s="67"/>
      <c r="F17" s="67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86" t="s">
        <v>813</v>
      </c>
      <c r="B20" s="67"/>
      <c r="C20" s="67"/>
      <c r="D20" s="67"/>
      <c r="E20" s="2"/>
      <c r="F20" s="86" t="s">
        <v>814</v>
      </c>
      <c r="G20" s="67"/>
      <c r="H20" s="67"/>
      <c r="I20" s="67"/>
      <c r="J20" s="67"/>
      <c r="K20" s="67"/>
      <c r="L20" s="67"/>
    </row>
    <row r="21" spans="1:12" ht="27.6">
      <c r="A21" s="33" t="s">
        <v>815</v>
      </c>
      <c r="B21" s="33" t="s">
        <v>816</v>
      </c>
      <c r="C21" s="33" t="s">
        <v>817</v>
      </c>
      <c r="D21" s="33" t="s">
        <v>818</v>
      </c>
      <c r="E21" s="2"/>
      <c r="F21" s="33" t="s">
        <v>20</v>
      </c>
      <c r="G21" s="33" t="s">
        <v>819</v>
      </c>
      <c r="H21" s="33" t="s">
        <v>820</v>
      </c>
      <c r="I21" s="33" t="s">
        <v>821</v>
      </c>
      <c r="J21" s="33" t="s">
        <v>822</v>
      </c>
      <c r="K21" s="33" t="s">
        <v>23</v>
      </c>
      <c r="L21" s="2"/>
    </row>
    <row r="22" spans="1:12">
      <c r="A22" s="2" t="s">
        <v>819</v>
      </c>
      <c r="B22" s="3">
        <f>SUM('Scope Builder'!AM2:AM251)</f>
        <v>42769</v>
      </c>
      <c r="C22" s="32">
        <f>IF(SUM('Scope Builder'!S2:S251)=0,0,B22/SUM('Scope Builder'!S2:S251))</f>
        <v>0.48656427758816839</v>
      </c>
      <c r="D22" s="32">
        <f>IF(SUM('Scope Builder'!U2:U251)=0,0,B22/SUM('Scope Builder'!U2:U251))</f>
        <v>0.44233116144378942</v>
      </c>
      <c r="E22" s="2"/>
      <c r="F22" s="2" t="s">
        <v>22</v>
      </c>
      <c r="G22" s="3">
        <f>SUMIFS('Scope Builder'!$AM$2:$AM$251,'Scope Builder'!$A$2:$A$251,"Yes",'Scope Builder'!$C$2:$C$251,F22)</f>
        <v>150</v>
      </c>
      <c r="H22" s="3">
        <f>SUMIFS('Scope Builder'!$AN$2:$AN$251,'Scope Builder'!$A$2:$A$251,"Yes",'Scope Builder'!$C$2:$C$251,F22)</f>
        <v>250</v>
      </c>
      <c r="I22" s="3">
        <f>SUMIFS('Scope Builder'!$AO$2:$AO$251,'Scope Builder'!$A$2:$A$251,"Yes",'Scope Builder'!$C$2:$C$251,F22)</f>
        <v>50</v>
      </c>
      <c r="J22" s="3">
        <f>SUMIFS('Scope Builder'!$AP$2:$AP$251,'Scope Builder'!$A$2:$A$251,"Yes",'Scope Builder'!$C$2:$C$251,F22)</f>
        <v>45.000000000000057</v>
      </c>
      <c r="K22" s="3">
        <f>SUMIFS('Scope Builder'!$U$2:$U$251,'Scope Builder'!$A$2:$A$251,"Yes",'Scope Builder'!$C$2:$C$251,F22)</f>
        <v>495.00000000000006</v>
      </c>
      <c r="L22" s="2"/>
    </row>
    <row r="23" spans="1:12">
      <c r="A23" s="2" t="s">
        <v>820</v>
      </c>
      <c r="B23" s="3">
        <f>SUM('Scope Builder'!AN2:AN251)</f>
        <v>32830</v>
      </c>
      <c r="C23" s="32">
        <f>IF(SUM('Scope Builder'!S2:S251)=0,0,B23/SUM('Scope Builder'!S2:S251))</f>
        <v>0.37349260523321959</v>
      </c>
      <c r="D23" s="32">
        <f>IF(SUM('Scope Builder'!U2:U251)=0,0,B23/SUM('Scope Builder'!U2:U251))</f>
        <v>0.33953873203019963</v>
      </c>
      <c r="E23" s="2"/>
      <c r="F23" s="2" t="s">
        <v>24</v>
      </c>
      <c r="G23" s="3">
        <f>SUMIFS('Scope Builder'!$AM$2:$AM$251,'Scope Builder'!$A$2:$A$251,"Yes",'Scope Builder'!$C$2:$C$251,F23)</f>
        <v>0</v>
      </c>
      <c r="H23" s="3">
        <f>SUMIFS('Scope Builder'!$AN$2:$AN$251,'Scope Builder'!$A$2:$A$251,"Yes",'Scope Builder'!$C$2:$C$251,F23)</f>
        <v>0</v>
      </c>
      <c r="I23" s="3">
        <f>SUMIFS('Scope Builder'!$AO$2:$AO$251,'Scope Builder'!$A$2:$A$251,"Yes",'Scope Builder'!$C$2:$C$251,F23)</f>
        <v>0</v>
      </c>
      <c r="J23" s="3">
        <f>SUMIFS('Scope Builder'!$AP$2:$AP$251,'Scope Builder'!$A$2:$A$251,"Yes",'Scope Builder'!$C$2:$C$251,F23)</f>
        <v>0</v>
      </c>
      <c r="K23" s="3">
        <f>SUMIFS('Scope Builder'!$U$2:$U$251,'Scope Builder'!$A$2:$A$251,"Yes",'Scope Builder'!$C$2:$C$251,F23)</f>
        <v>0</v>
      </c>
      <c r="L23" s="2"/>
    </row>
    <row r="24" spans="1:12">
      <c r="A24" s="2" t="s">
        <v>821</v>
      </c>
      <c r="B24" s="3">
        <f>SUM('Scope Builder'!AO2:AO251)</f>
        <v>12301</v>
      </c>
      <c r="C24" s="32">
        <f>IF(SUM('Scope Builder'!S2:S251)=0,0,B24/SUM('Scope Builder'!S2:S251))</f>
        <v>0.13994311717861205</v>
      </c>
      <c r="D24" s="32">
        <f>IF(SUM('Scope Builder'!U2:U251)=0,0,B24/SUM('Scope Builder'!U2:U251))</f>
        <v>0.12722101561692006</v>
      </c>
      <c r="E24" s="2"/>
      <c r="F24" s="2" t="s">
        <v>26</v>
      </c>
      <c r="G24" s="3">
        <f>SUMIFS('Scope Builder'!$AM$2:$AM$251,'Scope Builder'!$A$2:$A$251,"Yes",'Scope Builder'!$C$2:$C$251,F24)</f>
        <v>6800</v>
      </c>
      <c r="H24" s="3">
        <f>SUMIFS('Scope Builder'!$AN$2:$AN$251,'Scope Builder'!$A$2:$A$251,"Yes",'Scope Builder'!$C$2:$C$251,F24)</f>
        <v>4600</v>
      </c>
      <c r="I24" s="3">
        <f>SUMIFS('Scope Builder'!$AO$2:$AO$251,'Scope Builder'!$A$2:$A$251,"Yes",'Scope Builder'!$C$2:$C$251,F24)</f>
        <v>1300</v>
      </c>
      <c r="J24" s="3">
        <f>SUMIFS('Scope Builder'!$AP$2:$AP$251,'Scope Builder'!$A$2:$A$251,"Yes",'Scope Builder'!$C$2:$C$251,F24)</f>
        <v>1270.0000000000018</v>
      </c>
      <c r="K24" s="3">
        <f>SUMIFS('Scope Builder'!$U$2:$U$251,'Scope Builder'!$A$2:$A$251,"Yes",'Scope Builder'!$C$2:$C$251,F24)</f>
        <v>13970.000000000002</v>
      </c>
      <c r="L24" s="2"/>
    </row>
    <row r="25" spans="1:12">
      <c r="A25" s="2" t="s">
        <v>822</v>
      </c>
      <c r="B25" s="3">
        <f>SUM('Scope Builder'!AP2:AP251)</f>
        <v>8790.0000000000073</v>
      </c>
      <c r="C25" s="32">
        <f>0</f>
        <v>0</v>
      </c>
      <c r="D25" s="32">
        <f>IF(SUM('Scope Builder'!U2:U251)=0,0,B25/SUM('Scope Builder'!U2:U251))</f>
        <v>9.0909090909090981E-2</v>
      </c>
      <c r="E25" s="2"/>
      <c r="F25" s="2" t="s">
        <v>28</v>
      </c>
      <c r="G25" s="3">
        <f>SUMIFS('Scope Builder'!$AM$2:$AM$251,'Scope Builder'!$A$2:$A$251,"Yes",'Scope Builder'!$C$2:$C$251,F25)</f>
        <v>1450</v>
      </c>
      <c r="H25" s="3">
        <f>SUMIFS('Scope Builder'!$AN$2:$AN$251,'Scope Builder'!$A$2:$A$251,"Yes",'Scope Builder'!$C$2:$C$251,F25)</f>
        <v>1800</v>
      </c>
      <c r="I25" s="3">
        <f>SUMIFS('Scope Builder'!$AO$2:$AO$251,'Scope Builder'!$A$2:$A$251,"Yes",'Scope Builder'!$C$2:$C$251,F25)</f>
        <v>350</v>
      </c>
      <c r="J25" s="3">
        <f>SUMIFS('Scope Builder'!$AP$2:$AP$251,'Scope Builder'!$A$2:$A$251,"Yes",'Scope Builder'!$C$2:$C$251,F25)</f>
        <v>360.00000000000045</v>
      </c>
      <c r="K25" s="3">
        <f>SUMIFS('Scope Builder'!$U$2:$U$251,'Scope Builder'!$A$2:$A$251,"Yes",'Scope Builder'!$C$2:$C$251,F25)</f>
        <v>3960.0000000000005</v>
      </c>
      <c r="L25" s="2"/>
    </row>
    <row r="26" spans="1:12">
      <c r="A26" s="2"/>
      <c r="B26" s="2"/>
      <c r="C26" s="2"/>
      <c r="D26" s="2"/>
      <c r="E26" s="2"/>
      <c r="F26" s="2" t="s">
        <v>30</v>
      </c>
      <c r="G26" s="3">
        <f>SUMIFS('Scope Builder'!$AM$2:$AM$251,'Scope Builder'!$A$2:$A$251,"Yes",'Scope Builder'!$C$2:$C$251,F26)</f>
        <v>1000</v>
      </c>
      <c r="H26" s="3">
        <f>SUMIFS('Scope Builder'!$AN$2:$AN$251,'Scope Builder'!$A$2:$A$251,"Yes",'Scope Builder'!$C$2:$C$251,F26)</f>
        <v>1000</v>
      </c>
      <c r="I26" s="3">
        <f>SUMIFS('Scope Builder'!$AO$2:$AO$251,'Scope Builder'!$A$2:$A$251,"Yes",'Scope Builder'!$C$2:$C$251,F26)</f>
        <v>300</v>
      </c>
      <c r="J26" s="3">
        <f>SUMIFS('Scope Builder'!$AP$2:$AP$251,'Scope Builder'!$A$2:$A$251,"Yes",'Scope Builder'!$C$2:$C$251,F26)</f>
        <v>230</v>
      </c>
      <c r="K26" s="3">
        <f>SUMIFS('Scope Builder'!$U$2:$U$251,'Scope Builder'!$A$2:$A$251,"Yes",'Scope Builder'!$C$2:$C$251,F26)</f>
        <v>2530</v>
      </c>
      <c r="L26" s="2"/>
    </row>
    <row r="27" spans="1:12">
      <c r="A27" s="2"/>
      <c r="B27" s="2"/>
      <c r="C27" s="2"/>
      <c r="D27" s="2"/>
      <c r="E27" s="2"/>
      <c r="F27" s="2" t="s">
        <v>32</v>
      </c>
      <c r="G27" s="3">
        <f>SUMIFS('Scope Builder'!$AM$2:$AM$251,'Scope Builder'!$A$2:$A$251,"Yes",'Scope Builder'!$C$2:$C$251,F27)</f>
        <v>3894.0000000000005</v>
      </c>
      <c r="H27" s="3">
        <f>SUMIFS('Scope Builder'!$AN$2:$AN$251,'Scope Builder'!$A$2:$A$251,"Yes",'Scope Builder'!$C$2:$C$251,F27)</f>
        <v>2880</v>
      </c>
      <c r="I27" s="3">
        <f>SUMIFS('Scope Builder'!$AO$2:$AO$251,'Scope Builder'!$A$2:$A$251,"Yes",'Scope Builder'!$C$2:$C$251,F27)</f>
        <v>826</v>
      </c>
      <c r="J27" s="3">
        <f>SUMIFS('Scope Builder'!$AP$2:$AP$251,'Scope Builder'!$A$2:$A$251,"Yes",'Scope Builder'!$C$2:$C$251,F27)</f>
        <v>760</v>
      </c>
      <c r="K27" s="3">
        <f>SUMIFS('Scope Builder'!$U$2:$U$251,'Scope Builder'!$A$2:$A$251,"Yes",'Scope Builder'!$C$2:$C$251,F27)</f>
        <v>8360</v>
      </c>
      <c r="L27" s="2"/>
    </row>
    <row r="28" spans="1:12">
      <c r="A28" s="2"/>
      <c r="B28" s="2"/>
      <c r="C28" s="2"/>
      <c r="D28" s="2"/>
      <c r="E28" s="2"/>
      <c r="F28" s="2" t="s">
        <v>34</v>
      </c>
      <c r="G28" s="3">
        <f>SUMIFS('Scope Builder'!$AM$2:$AM$251,'Scope Builder'!$A$2:$A$251,"Yes",'Scope Builder'!$C$2:$C$251,F28)</f>
        <v>4600</v>
      </c>
      <c r="H28" s="3">
        <f>SUMIFS('Scope Builder'!$AN$2:$AN$251,'Scope Builder'!$A$2:$A$251,"Yes",'Scope Builder'!$C$2:$C$251,F28)</f>
        <v>2800</v>
      </c>
      <c r="I28" s="3">
        <f>SUMIFS('Scope Builder'!$AO$2:$AO$251,'Scope Builder'!$A$2:$A$251,"Yes",'Scope Builder'!$C$2:$C$251,F28)</f>
        <v>500</v>
      </c>
      <c r="J28" s="3">
        <f>SUMIFS('Scope Builder'!$AP$2:$AP$251,'Scope Builder'!$A$2:$A$251,"Yes",'Scope Builder'!$C$2:$C$251,F28)</f>
        <v>790</v>
      </c>
      <c r="K28" s="3">
        <f>SUMIFS('Scope Builder'!$U$2:$U$251,'Scope Builder'!$A$2:$A$251,"Yes",'Scope Builder'!$C$2:$C$251,F28)</f>
        <v>8690</v>
      </c>
      <c r="L28" s="2"/>
    </row>
    <row r="29" spans="1:12">
      <c r="A29" s="2"/>
      <c r="B29" s="2"/>
      <c r="C29" s="2"/>
      <c r="D29" s="2"/>
      <c r="E29" s="2"/>
      <c r="F29" s="2" t="s">
        <v>36</v>
      </c>
      <c r="G29" s="3">
        <f>SUMIFS('Scope Builder'!$AM$2:$AM$251,'Scope Builder'!$A$2:$A$251,"Yes",'Scope Builder'!$C$2:$C$251,F29)</f>
        <v>1575</v>
      </c>
      <c r="H29" s="3">
        <f>SUMIFS('Scope Builder'!$AN$2:$AN$251,'Scope Builder'!$A$2:$A$251,"Yes",'Scope Builder'!$C$2:$C$251,F29)</f>
        <v>2700</v>
      </c>
      <c r="I29" s="3">
        <f>SUMIFS('Scope Builder'!$AO$2:$AO$251,'Scope Builder'!$A$2:$A$251,"Yes",'Scope Builder'!$C$2:$C$251,F29)</f>
        <v>325</v>
      </c>
      <c r="J29" s="3">
        <f>SUMIFS('Scope Builder'!$AP$2:$AP$251,'Scope Builder'!$A$2:$A$251,"Yes",'Scope Builder'!$C$2:$C$251,F29)</f>
        <v>460</v>
      </c>
      <c r="K29" s="3">
        <f>SUMIFS('Scope Builder'!$U$2:$U$251,'Scope Builder'!$A$2:$A$251,"Yes",'Scope Builder'!$C$2:$C$251,F29)</f>
        <v>5060</v>
      </c>
      <c r="L29" s="2"/>
    </row>
    <row r="30" spans="1:12">
      <c r="A30" s="2"/>
      <c r="B30" s="2"/>
      <c r="C30" s="2"/>
      <c r="D30" s="2"/>
      <c r="E30" s="2"/>
      <c r="F30" s="2" t="s">
        <v>38</v>
      </c>
      <c r="G30" s="3">
        <f>SUMIFS('Scope Builder'!$AM$2:$AM$251,'Scope Builder'!$A$2:$A$251,"Yes",'Scope Builder'!$C$2:$C$251,F30)</f>
        <v>14000</v>
      </c>
      <c r="H30" s="3">
        <f>SUMIFS('Scope Builder'!$AN$2:$AN$251,'Scope Builder'!$A$2:$A$251,"Yes",'Scope Builder'!$C$2:$C$251,F30)</f>
        <v>8000</v>
      </c>
      <c r="I30" s="3">
        <f>SUMIFS('Scope Builder'!$AO$2:$AO$251,'Scope Builder'!$A$2:$A$251,"Yes",'Scope Builder'!$C$2:$C$251,F30)</f>
        <v>2500</v>
      </c>
      <c r="J30" s="3">
        <f>SUMIFS('Scope Builder'!$AP$2:$AP$251,'Scope Builder'!$A$2:$A$251,"Yes",'Scope Builder'!$C$2:$C$251,F30)</f>
        <v>2450.0000000000036</v>
      </c>
      <c r="K30" s="3">
        <f>SUMIFS('Scope Builder'!$U$2:$U$251,'Scope Builder'!$A$2:$A$251,"Yes",'Scope Builder'!$C$2:$C$251,F30)</f>
        <v>26950.000000000004</v>
      </c>
      <c r="L30" s="2"/>
    </row>
    <row r="31" spans="1:12">
      <c r="A31" s="2"/>
      <c r="B31" s="2"/>
      <c r="C31" s="2"/>
      <c r="D31" s="2"/>
      <c r="E31" s="2"/>
      <c r="F31" s="2" t="s">
        <v>39</v>
      </c>
      <c r="G31" s="3">
        <f>SUMIFS('Scope Builder'!$AM$2:$AM$251,'Scope Builder'!$A$2:$A$251,"Yes",'Scope Builder'!$C$2:$C$251,F31)</f>
        <v>1800</v>
      </c>
      <c r="H31" s="3">
        <f>SUMIFS('Scope Builder'!$AN$2:$AN$251,'Scope Builder'!$A$2:$A$251,"Yes",'Scope Builder'!$C$2:$C$251,F31)</f>
        <v>3000</v>
      </c>
      <c r="I31" s="3">
        <f>SUMIFS('Scope Builder'!$AO$2:$AO$251,'Scope Builder'!$A$2:$A$251,"Yes",'Scope Builder'!$C$2:$C$251,F31)</f>
        <v>2700</v>
      </c>
      <c r="J31" s="3">
        <f>SUMIFS('Scope Builder'!$AP$2:$AP$251,'Scope Builder'!$A$2:$A$251,"Yes",'Scope Builder'!$C$2:$C$251,F31)</f>
        <v>750</v>
      </c>
      <c r="K31" s="3">
        <f>SUMIFS('Scope Builder'!$U$2:$U$251,'Scope Builder'!$A$2:$A$251,"Yes",'Scope Builder'!$C$2:$C$251,F31)</f>
        <v>8250</v>
      </c>
      <c r="L31" s="2"/>
    </row>
    <row r="32" spans="1:12">
      <c r="A32" s="2"/>
      <c r="B32" s="2"/>
      <c r="C32" s="2"/>
      <c r="D32" s="2"/>
      <c r="E32" s="2"/>
      <c r="F32" s="2" t="s">
        <v>40</v>
      </c>
      <c r="G32" s="3">
        <f>SUMIFS('Scope Builder'!$AM$2:$AM$251,'Scope Builder'!$A$2:$A$251,"Yes",'Scope Builder'!$C$2:$C$251,F32)</f>
        <v>4200</v>
      </c>
      <c r="H32" s="3">
        <f>SUMIFS('Scope Builder'!$AN$2:$AN$251,'Scope Builder'!$A$2:$A$251,"Yes",'Scope Builder'!$C$2:$C$251,F32)</f>
        <v>4000</v>
      </c>
      <c r="I32" s="3">
        <f>SUMIFS('Scope Builder'!$AO$2:$AO$251,'Scope Builder'!$A$2:$A$251,"Yes",'Scope Builder'!$C$2:$C$251,F32)</f>
        <v>1700</v>
      </c>
      <c r="J32" s="3">
        <f>SUMIFS('Scope Builder'!$AP$2:$AP$251,'Scope Builder'!$A$2:$A$251,"Yes",'Scope Builder'!$C$2:$C$251,F32)</f>
        <v>990</v>
      </c>
      <c r="K32" s="3">
        <f>SUMIFS('Scope Builder'!$U$2:$U$251,'Scope Builder'!$A$2:$A$251,"Yes",'Scope Builder'!$C$2:$C$251,F32)</f>
        <v>10890</v>
      </c>
      <c r="L32" s="2"/>
    </row>
    <row r="33" spans="1:12">
      <c r="A33" s="2"/>
      <c r="B33" s="2"/>
      <c r="C33" s="2"/>
      <c r="D33" s="2"/>
      <c r="E33" s="2"/>
      <c r="F33" s="2" t="s">
        <v>41</v>
      </c>
      <c r="G33" s="3">
        <f>SUMIFS('Scope Builder'!$AM$2:$AM$251,'Scope Builder'!$A$2:$A$251,"Yes",'Scope Builder'!$C$2:$C$251,F33)</f>
        <v>0</v>
      </c>
      <c r="H33" s="3">
        <f>SUMIFS('Scope Builder'!$AN$2:$AN$251,'Scope Builder'!$A$2:$A$251,"Yes",'Scope Builder'!$C$2:$C$251,F33)</f>
        <v>0</v>
      </c>
      <c r="I33" s="3">
        <f>SUMIFS('Scope Builder'!$AO$2:$AO$251,'Scope Builder'!$A$2:$A$251,"Yes",'Scope Builder'!$C$2:$C$251,F33)</f>
        <v>800</v>
      </c>
      <c r="J33" s="3">
        <f>SUMIFS('Scope Builder'!$AP$2:$AP$251,'Scope Builder'!$A$2:$A$251,"Yes",'Scope Builder'!$C$2:$C$251,F33)</f>
        <v>80.000000000000057</v>
      </c>
      <c r="K33" s="3">
        <f>SUMIFS('Scope Builder'!$U$2:$U$251,'Scope Builder'!$A$2:$A$251,"Yes",'Scope Builder'!$C$2:$C$251,F33)</f>
        <v>880</v>
      </c>
      <c r="L33" s="2"/>
    </row>
    <row r="34" spans="1:12">
      <c r="A34" s="2"/>
      <c r="B34" s="2"/>
      <c r="C34" s="2"/>
      <c r="D34" s="2"/>
      <c r="E34" s="2"/>
      <c r="F34" s="2" t="s">
        <v>42</v>
      </c>
      <c r="G34" s="3">
        <f>SUMIFS('Scope Builder'!$AM$2:$AM$251,'Scope Builder'!$A$2:$A$251,"Yes",'Scope Builder'!$C$2:$C$251,F34)</f>
        <v>0</v>
      </c>
      <c r="H34" s="3">
        <f>SUMIFS('Scope Builder'!$AN$2:$AN$251,'Scope Builder'!$A$2:$A$251,"Yes",'Scope Builder'!$C$2:$C$251,F34)</f>
        <v>0</v>
      </c>
      <c r="I34" s="3">
        <f>SUMIFS('Scope Builder'!$AO$2:$AO$251,'Scope Builder'!$A$2:$A$251,"Yes",'Scope Builder'!$C$2:$C$251,F34)</f>
        <v>650</v>
      </c>
      <c r="J34" s="3">
        <f>SUMIFS('Scope Builder'!$AP$2:$AP$251,'Scope Builder'!$A$2:$A$251,"Yes",'Scope Builder'!$C$2:$C$251,F34)</f>
        <v>65.000000000000114</v>
      </c>
      <c r="K34" s="3">
        <f>SUMIFS('Scope Builder'!$U$2:$U$251,'Scope Builder'!$A$2:$A$251,"Yes",'Scope Builder'!$C$2:$C$251,F34)</f>
        <v>715.00000000000011</v>
      </c>
      <c r="L34" s="2"/>
    </row>
    <row r="35" spans="1:12">
      <c r="A35" s="2"/>
      <c r="B35" s="2"/>
      <c r="C35" s="2"/>
      <c r="D35" s="2"/>
      <c r="E35" s="2"/>
      <c r="F35" s="2" t="s">
        <v>43</v>
      </c>
      <c r="G35" s="3">
        <f>SUMIFS('Scope Builder'!$AM$2:$AM$251,'Scope Builder'!$A$2:$A$251,"Yes",'Scope Builder'!$C$2:$C$251,F35)</f>
        <v>3300</v>
      </c>
      <c r="H35" s="3">
        <f>SUMIFS('Scope Builder'!$AN$2:$AN$251,'Scope Builder'!$A$2:$A$251,"Yes",'Scope Builder'!$C$2:$C$251,F35)</f>
        <v>1800</v>
      </c>
      <c r="I35" s="3">
        <f>SUMIFS('Scope Builder'!$AO$2:$AO$251,'Scope Builder'!$A$2:$A$251,"Yes",'Scope Builder'!$C$2:$C$251,F35)</f>
        <v>300</v>
      </c>
      <c r="J35" s="3">
        <f>SUMIFS('Scope Builder'!$AP$2:$AP$251,'Scope Builder'!$A$2:$A$251,"Yes",'Scope Builder'!$C$2:$C$251,F35)</f>
        <v>540.00000000000091</v>
      </c>
      <c r="K35" s="3">
        <f>SUMIFS('Scope Builder'!$U$2:$U$251,'Scope Builder'!$A$2:$A$251,"Yes",'Scope Builder'!$C$2:$C$251,F35)</f>
        <v>5940.0000000000009</v>
      </c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6">
      <c r="A52" s="83" t="s">
        <v>823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</row>
    <row r="53" spans="1:12">
      <c r="A53" s="88" t="s">
        <v>824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85" t="str">
        <f>"Ballpark Total"&amp;CHAR(10)&amp;TEXT(SUM('Scope Builder'!AW2:AW251),"$#,##0")</f>
        <v>Ballpark Total
$88,807</v>
      </c>
      <c r="B55" s="67"/>
      <c r="C55" s="67"/>
      <c r="D55" s="85" t="str">
        <f>"Detailed Cost"&amp;CHAR(10)&amp;TEXT(SUM('Scope Builder'!AX2:AX251),"$#,##0")</f>
        <v>Detailed Cost
$95,095</v>
      </c>
      <c r="E55" s="67"/>
      <c r="F55" s="67"/>
      <c r="G55" s="85" t="str">
        <f>"Variance on Detailed Items"&amp;CHAR(10)&amp;TEXT(SUM('Scope Builder'!AZ2:AZ251),"$#,##0")</f>
        <v>Variance on Detailed Items
$8,048</v>
      </c>
      <c r="H55" s="67"/>
      <c r="I55" s="67"/>
      <c r="J55" s="85" t="str">
        <f>"Estimate Maturity"&amp;CHAR(10)&amp;TEXT(IF(SUM('Scope Builder'!AW2:AW251)=0,0,SUM('Scope Builder'!AY2:AY251)/SUM('Scope Builder'!AW2:AW251)),"0.0%")</f>
        <v>Estimate Maturity
98.0%</v>
      </c>
      <c r="K55" s="67"/>
      <c r="L55" s="67"/>
    </row>
    <row r="56" spans="1:12">
      <c r="A56" s="67"/>
      <c r="B56" s="72"/>
      <c r="C56" s="67"/>
      <c r="D56" s="67"/>
      <c r="E56" s="72"/>
      <c r="F56" s="67"/>
      <c r="G56" s="67"/>
      <c r="H56" s="72"/>
      <c r="I56" s="67"/>
      <c r="J56" s="67"/>
      <c r="K56" s="72"/>
      <c r="L56" s="67"/>
    </row>
    <row r="57" spans="1:1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4.4">
      <c r="A60" s="5" t="s">
        <v>20</v>
      </c>
      <c r="B60" s="5" t="s">
        <v>151</v>
      </c>
      <c r="C60" s="5" t="s">
        <v>825</v>
      </c>
      <c r="D60" s="5" t="s">
        <v>826</v>
      </c>
      <c r="E60" s="2"/>
      <c r="F60" s="2"/>
      <c r="G60" s="2"/>
      <c r="H60" s="5" t="s">
        <v>827</v>
      </c>
      <c r="I60" s="5" t="s">
        <v>816</v>
      </c>
      <c r="J60" s="2"/>
      <c r="K60" s="2"/>
      <c r="L60" s="2"/>
    </row>
    <row r="61" spans="1:12" ht="14.4">
      <c r="A61" s="4" t="s">
        <v>22</v>
      </c>
      <c r="B61" s="3">
        <f>SUMIFS('Scope Builder'!$AY$2:$AY$251,'Scope Builder'!$C$2:$C$251,$A61)</f>
        <v>440.00000000000006</v>
      </c>
      <c r="C61" s="3">
        <f>SUMIFS('Scope Builder'!$AX$2:$AX$251,'Scope Builder'!$C$2:$C$251,$A61)</f>
        <v>495.00000000000006</v>
      </c>
      <c r="D61" s="3">
        <f t="shared" ref="D61:D74" si="0">$C61-$B61</f>
        <v>55</v>
      </c>
      <c r="H61" s="4" t="s">
        <v>151</v>
      </c>
      <c r="I61" s="3">
        <f>SUM('Scope Builder'!AY2:AY251)</f>
        <v>87047.400000000009</v>
      </c>
    </row>
    <row r="62" spans="1:12" ht="14.4">
      <c r="A62" s="4" t="s">
        <v>24</v>
      </c>
      <c r="B62" s="3">
        <f>SUMIFS('Scope Builder'!$AY$2:$AY$251,'Scope Builder'!$C$2:$C$251,$A62)</f>
        <v>0</v>
      </c>
      <c r="C62" s="3">
        <f>SUMIFS('Scope Builder'!$AX$2:$AX$251,'Scope Builder'!$C$2:$C$251,$A62)</f>
        <v>0</v>
      </c>
      <c r="D62" s="3">
        <f t="shared" si="0"/>
        <v>0</v>
      </c>
      <c r="H62" s="4" t="s">
        <v>825</v>
      </c>
      <c r="I62" s="3">
        <f>SUM('Scope Builder'!AX2:AX251)</f>
        <v>95095</v>
      </c>
    </row>
    <row r="63" spans="1:12" ht="14.4">
      <c r="A63" s="4" t="s">
        <v>26</v>
      </c>
      <c r="B63" s="3">
        <f>SUMIFS('Scope Builder'!$AY$2:$AY$251,'Scope Builder'!$C$2:$C$251,$A63)</f>
        <v>12370.6</v>
      </c>
      <c r="C63" s="3">
        <f>SUMIFS('Scope Builder'!$AX$2:$AX$251,'Scope Builder'!$C$2:$C$251,$A63)</f>
        <v>13970.000000000002</v>
      </c>
      <c r="D63" s="3">
        <f t="shared" si="0"/>
        <v>1599.4000000000015</v>
      </c>
    </row>
    <row r="64" spans="1:12" ht="14.4">
      <c r="A64" s="4" t="s">
        <v>28</v>
      </c>
      <c r="B64" s="3">
        <f>SUMIFS('Scope Builder'!$AY$2:$AY$251,'Scope Builder'!$C$2:$C$251,$A64)</f>
        <v>3300.0000000000005</v>
      </c>
      <c r="C64" s="3">
        <f>SUMIFS('Scope Builder'!$AX$2:$AX$251,'Scope Builder'!$C$2:$C$251,$A64)</f>
        <v>3960.0000000000005</v>
      </c>
      <c r="D64" s="3">
        <f t="shared" si="0"/>
        <v>660</v>
      </c>
    </row>
    <row r="65" spans="1:11" ht="14.4">
      <c r="A65" s="4" t="s">
        <v>30</v>
      </c>
      <c r="B65" s="3">
        <f>SUMIFS('Scope Builder'!$AY$2:$AY$251,'Scope Builder'!$C$2:$C$251,$A65)</f>
        <v>2200</v>
      </c>
      <c r="C65" s="3">
        <f>SUMIFS('Scope Builder'!$AX$2:$AX$251,'Scope Builder'!$C$2:$C$251,$A65)</f>
        <v>2530</v>
      </c>
      <c r="D65" s="3">
        <f t="shared" si="0"/>
        <v>330</v>
      </c>
    </row>
    <row r="66" spans="1:11" ht="14.4">
      <c r="A66" s="4" t="s">
        <v>32</v>
      </c>
      <c r="B66" s="3">
        <f>SUMIFS('Scope Builder'!$AY$2:$AY$251,'Scope Builder'!$C$2:$C$251,$A66)</f>
        <v>7920.0000000000009</v>
      </c>
      <c r="C66" s="3">
        <f>SUMIFS('Scope Builder'!$AX$2:$AX$251,'Scope Builder'!$C$2:$C$251,$A66)</f>
        <v>8360</v>
      </c>
      <c r="D66" s="3">
        <f t="shared" si="0"/>
        <v>439.99999999999909</v>
      </c>
    </row>
    <row r="67" spans="1:11" ht="14.4">
      <c r="A67" s="4" t="s">
        <v>34</v>
      </c>
      <c r="B67" s="3">
        <f>SUMIFS('Scope Builder'!$AY$2:$AY$251,'Scope Builder'!$C$2:$C$251,$A67)</f>
        <v>7846.3</v>
      </c>
      <c r="C67" s="3">
        <f>SUMIFS('Scope Builder'!$AX$2:$AX$251,'Scope Builder'!$C$2:$C$251,$A67)</f>
        <v>8690</v>
      </c>
      <c r="D67" s="3">
        <f t="shared" si="0"/>
        <v>843.69999999999982</v>
      </c>
    </row>
    <row r="68" spans="1:11" ht="14.4">
      <c r="A68" s="4" t="s">
        <v>36</v>
      </c>
      <c r="B68" s="3">
        <f>SUMIFS('Scope Builder'!$AY$2:$AY$251,'Scope Builder'!$C$2:$C$251,$A68)</f>
        <v>4950</v>
      </c>
      <c r="C68" s="3">
        <f>SUMIFS('Scope Builder'!$AX$2:$AX$251,'Scope Builder'!$C$2:$C$251,$A68)</f>
        <v>5060</v>
      </c>
      <c r="D68" s="3">
        <f t="shared" si="0"/>
        <v>110</v>
      </c>
    </row>
    <row r="69" spans="1:11" ht="14.4">
      <c r="A69" s="4" t="s">
        <v>38</v>
      </c>
      <c r="B69" s="3">
        <f>SUMIFS('Scope Builder'!$AY$2:$AY$251,'Scope Builder'!$C$2:$C$251,$A69)</f>
        <v>28600.000000000004</v>
      </c>
      <c r="C69" s="3">
        <f>SUMIFS('Scope Builder'!$AX$2:$AX$251,'Scope Builder'!$C$2:$C$251,$A69)</f>
        <v>26950.000000000004</v>
      </c>
      <c r="D69" s="3">
        <f t="shared" si="0"/>
        <v>-1650</v>
      </c>
    </row>
    <row r="70" spans="1:11" ht="14.4">
      <c r="A70" s="4" t="s">
        <v>39</v>
      </c>
      <c r="B70" s="3">
        <f>SUMIFS('Scope Builder'!$AY$2:$AY$251,'Scope Builder'!$C$2:$C$251,$A70)</f>
        <v>5500</v>
      </c>
      <c r="C70" s="3">
        <f>SUMIFS('Scope Builder'!$AX$2:$AX$251,'Scope Builder'!$C$2:$C$251,$A70)</f>
        <v>8250</v>
      </c>
      <c r="D70" s="3">
        <f t="shared" si="0"/>
        <v>2750</v>
      </c>
    </row>
    <row r="71" spans="1:11" ht="14.4">
      <c r="A71" s="4" t="s">
        <v>40</v>
      </c>
      <c r="B71" s="3">
        <f>SUMIFS('Scope Builder'!$AY$2:$AY$251,'Scope Builder'!$C$2:$C$251,$A71)</f>
        <v>8970.5</v>
      </c>
      <c r="C71" s="3">
        <f>SUMIFS('Scope Builder'!$AX$2:$AX$251,'Scope Builder'!$C$2:$C$251,$A71)</f>
        <v>10890</v>
      </c>
      <c r="D71" s="3">
        <f t="shared" si="0"/>
        <v>1919.5</v>
      </c>
    </row>
    <row r="72" spans="1:11" ht="14.4">
      <c r="A72" s="4" t="s">
        <v>41</v>
      </c>
      <c r="B72" s="3">
        <f>SUMIFS('Scope Builder'!$AY$2:$AY$251,'Scope Builder'!$C$2:$C$251,$A72)</f>
        <v>0</v>
      </c>
      <c r="C72" s="3">
        <f>SUMIFS('Scope Builder'!$AX$2:$AX$251,'Scope Builder'!$C$2:$C$251,$A72)</f>
        <v>0</v>
      </c>
      <c r="D72" s="3">
        <f t="shared" si="0"/>
        <v>0</v>
      </c>
    </row>
    <row r="73" spans="1:11" ht="14.4">
      <c r="A73" s="4" t="s">
        <v>42</v>
      </c>
      <c r="B73" s="3">
        <f>SUMIFS('Scope Builder'!$AY$2:$AY$251,'Scope Builder'!$C$2:$C$251,$A73)</f>
        <v>0</v>
      </c>
      <c r="C73" s="3">
        <f>SUMIFS('Scope Builder'!$AX$2:$AX$251,'Scope Builder'!$C$2:$C$251,$A73)</f>
        <v>0</v>
      </c>
      <c r="D73" s="3">
        <f t="shared" si="0"/>
        <v>0</v>
      </c>
    </row>
    <row r="74" spans="1:11" ht="14.4">
      <c r="A74" s="4" t="s">
        <v>43</v>
      </c>
      <c r="B74" s="3">
        <f>SUMIFS('Scope Builder'!$AY$2:$AY$251,'Scope Builder'!$C$2:$C$251,$A74)</f>
        <v>4950</v>
      </c>
      <c r="C74" s="3">
        <f>SUMIFS('Scope Builder'!$AX$2:$AX$251,'Scope Builder'!$C$2:$C$251,$A74)</f>
        <v>5940.0000000000009</v>
      </c>
      <c r="D74" s="3">
        <f t="shared" si="0"/>
        <v>990.00000000000091</v>
      </c>
    </row>
    <row r="76" spans="1:11" ht="17.55" customHeight="1">
      <c r="A76" s="87" t="s">
        <v>828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>
      <c r="A77" s="34" t="s">
        <v>829</v>
      </c>
      <c r="B77" s="34" t="s">
        <v>830</v>
      </c>
    </row>
    <row r="78" spans="1:11">
      <c r="A78" t="s">
        <v>831</v>
      </c>
      <c r="B78" s="35">
        <v>1</v>
      </c>
    </row>
    <row r="79" spans="1:11">
      <c r="A79" t="s">
        <v>832</v>
      </c>
      <c r="B79" s="35">
        <f>IFERROR(SUM('Scope Builder'!AN2:AN251)/SUM('Scope Builder'!AM2:AM251),0)</f>
        <v>0.76761205546073086</v>
      </c>
    </row>
    <row r="81" spans="1:2" ht="19.2" customHeight="1">
      <c r="A81" s="89" t="str">
        <f>"Interpretation: $"&amp;TEXT(B79,"0.00")&amp;" of labor for every $1.00 of material."</f>
        <v>Interpretation: $0.77 of labor for every $1.00 of material.</v>
      </c>
      <c r="B81" s="67"/>
    </row>
    <row r="82" spans="1:2" ht="19.2" customHeight="1">
      <c r="A82" s="67"/>
      <c r="B82" s="67"/>
    </row>
  </sheetData>
  <mergeCells count="31">
    <mergeCell ref="A81:B82"/>
    <mergeCell ref="A17:C17"/>
    <mergeCell ref="A8:C10"/>
    <mergeCell ref="D4:F6"/>
    <mergeCell ref="A53:L53"/>
    <mergeCell ref="D15:F15"/>
    <mergeCell ref="D8:F10"/>
    <mergeCell ref="D55:F57"/>
    <mergeCell ref="A13:C13"/>
    <mergeCell ref="D14:F14"/>
    <mergeCell ref="A52:L52"/>
    <mergeCell ref="G4:I6"/>
    <mergeCell ref="D13:F13"/>
    <mergeCell ref="A20:D20"/>
    <mergeCell ref="D17:F17"/>
    <mergeCell ref="A12:F12"/>
    <mergeCell ref="A1:L1"/>
    <mergeCell ref="A16:C16"/>
    <mergeCell ref="A4:C6"/>
    <mergeCell ref="F20:L20"/>
    <mergeCell ref="A76:K76"/>
    <mergeCell ref="A15:C15"/>
    <mergeCell ref="G8:I10"/>
    <mergeCell ref="J8:L10"/>
    <mergeCell ref="A2:L2"/>
    <mergeCell ref="G55:I57"/>
    <mergeCell ref="J4:L6"/>
    <mergeCell ref="A14:C14"/>
    <mergeCell ref="J55:L57"/>
    <mergeCell ref="D16:F16"/>
    <mergeCell ref="A55:C5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0"/>
  <sheetViews>
    <sheetView tabSelected="1" workbookViewId="0">
      <selection activeCell="U22" sqref="U22"/>
    </sheetView>
  </sheetViews>
  <sheetFormatPr defaultRowHeight="13.8"/>
  <cols>
    <col min="1" max="14" width="12" customWidth="1"/>
    <col min="16" max="16" width="22.8984375" bestFit="1" customWidth="1"/>
    <col min="17" max="17" width="6.59765625" bestFit="1" customWidth="1"/>
    <col min="18" max="20" width="2" customWidth="1"/>
  </cols>
  <sheetData>
    <row r="1" spans="1:20">
      <c r="A1" s="60" t="s">
        <v>833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0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P2" t="s">
        <v>6</v>
      </c>
      <c r="Q2" t="s">
        <v>7</v>
      </c>
      <c r="S2" t="s">
        <v>710</v>
      </c>
      <c r="T2" t="s">
        <v>712</v>
      </c>
    </row>
    <row r="3" spans="1:20">
      <c r="A3" s="61" t="s">
        <v>834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P3" t="s">
        <v>9</v>
      </c>
      <c r="Q3">
        <f>SUMIFS('Scope Builder'!$U$2:$U$251,'Scope Builder'!$A$2:$A$251,"Yes",'Scope Builder'!$K$2:$K$251,P3)</f>
        <v>0</v>
      </c>
      <c r="S3" t="s">
        <v>70</v>
      </c>
      <c r="T3">
        <f>'Flip Analysis'!C4</f>
        <v>112000</v>
      </c>
    </row>
    <row r="4" spans="1:20" ht="14.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P4" t="s">
        <v>11</v>
      </c>
      <c r="Q4">
        <f>SUMIFS('Scope Builder'!$U$2:$U$251,'Scope Builder'!$A$2:$A$251,"Yes",'Scope Builder'!$K$2:$K$251,P4)</f>
        <v>24695</v>
      </c>
      <c r="S4" t="s">
        <v>835</v>
      </c>
      <c r="T4">
        <f>'Flip Analysis'!C6</f>
        <v>96690</v>
      </c>
    </row>
    <row r="5" spans="1:20" ht="17.55" customHeight="1">
      <c r="A5" s="62" t="str">
        <f>"Purchase Price"&amp;CHAR(10)&amp;TEXT('Flip Analysis'!C4,"$#,##0")</f>
        <v>Purchase Price
$112,000</v>
      </c>
      <c r="B5" s="62"/>
      <c r="C5" s="62"/>
      <c r="D5" s="54" t="str">
        <f>"After Repair Value"&amp;CHAR(10)&amp;TEXT('Flip Analysis'!C5,"$#,##0")</f>
        <v>After Repair Value
$285,000</v>
      </c>
      <c r="E5" s="54"/>
      <c r="F5" s="54"/>
      <c r="G5" s="55" t="str">
        <f>"Rehab Budget"&amp;CHAR(10)&amp;TEXT('Flip Analysis'!C6,"$#,##0")</f>
        <v>Rehab Budget
$96,690</v>
      </c>
      <c r="H5" s="55"/>
      <c r="I5" s="55"/>
      <c r="J5" s="63" t="str">
        <f>"Projected Profit"&amp;CHAR(10)&amp;TEXT('Flip Analysis'!C12,"$#,##0")</f>
        <v>Projected Profit
$38,270</v>
      </c>
      <c r="K5" s="63"/>
      <c r="L5" s="63"/>
      <c r="M5" s="63"/>
      <c r="N5" s="63"/>
      <c r="P5" t="s">
        <v>13</v>
      </c>
      <c r="Q5">
        <f>SUMIFS('Scope Builder'!$U$2:$U$251,'Scope Builder'!$A$2:$A$251,"Yes",'Scope Builder'!$K$2:$K$251,P5)</f>
        <v>14630</v>
      </c>
      <c r="S5" t="s">
        <v>836</v>
      </c>
      <c r="T5">
        <f>'Flip Analysis'!C11-'Flip Analysis'!C4-'Flip Analysis'!C6</f>
        <v>38040</v>
      </c>
    </row>
    <row r="6" spans="1:20" ht="17.55" customHeight="1">
      <c r="A6" s="62"/>
      <c r="B6" s="62"/>
      <c r="C6" s="62"/>
      <c r="D6" s="54"/>
      <c r="E6" s="54"/>
      <c r="F6" s="54"/>
      <c r="G6" s="55"/>
      <c r="H6" s="55"/>
      <c r="I6" s="55"/>
      <c r="J6" s="63"/>
      <c r="K6" s="63"/>
      <c r="L6" s="63"/>
      <c r="M6" s="63"/>
      <c r="N6" s="63"/>
      <c r="P6" t="s">
        <v>15</v>
      </c>
      <c r="Q6">
        <f>SUMIFS('Scope Builder'!$U$2:$U$251,'Scope Builder'!$A$2:$A$251,"Yes",'Scope Builder'!$K$2:$K$251,P6)</f>
        <v>57365</v>
      </c>
      <c r="S6" t="s">
        <v>27</v>
      </c>
      <c r="T6">
        <f>'Flip Analysis'!C12</f>
        <v>38270</v>
      </c>
    </row>
    <row r="7" spans="1:20" ht="17.55" customHeight="1">
      <c r="A7" s="62"/>
      <c r="B7" s="62"/>
      <c r="C7" s="62"/>
      <c r="D7" s="54"/>
      <c r="E7" s="54"/>
      <c r="F7" s="54"/>
      <c r="G7" s="55"/>
      <c r="H7" s="55"/>
      <c r="I7" s="55"/>
      <c r="J7" s="63"/>
      <c r="K7" s="63"/>
      <c r="L7" s="63"/>
      <c r="M7" s="63"/>
      <c r="N7" s="63"/>
      <c r="P7" t="s">
        <v>17</v>
      </c>
      <c r="Q7">
        <f>SUMIFS('Scope Builder'!$U$2:$U$251,'Scope Builder'!$A$2:$A$251,"Yes",'Scope Builder'!$K$2:$K$251,P7)</f>
        <v>0</v>
      </c>
    </row>
    <row r="8" spans="1:20" ht="17.55" customHeight="1">
      <c r="A8" s="62"/>
      <c r="B8" s="62"/>
      <c r="C8" s="62"/>
      <c r="D8" s="54"/>
      <c r="E8" s="54"/>
      <c r="F8" s="54"/>
      <c r="G8" s="55"/>
      <c r="H8" s="55"/>
      <c r="I8" s="55"/>
      <c r="J8" s="63"/>
      <c r="K8" s="63"/>
      <c r="L8" s="63"/>
      <c r="M8" s="63"/>
      <c r="N8" s="63"/>
    </row>
    <row r="9" spans="1:20" ht="17.5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20" ht="17.55" customHeight="1">
      <c r="A10" s="52" t="str">
        <f>"Detailed MAO"&amp;CHAR(10)&amp;TEXT('Flip Analysis'!C16,"$#,##0")</f>
        <v>Detailed MAO
$115,206</v>
      </c>
      <c r="B10" s="52"/>
      <c r="C10" s="52"/>
      <c r="D10" s="53" t="str">
        <f>"MAO Buffer"&amp;CHAR(10)&amp;TEXT('Flip Analysis'!C17,"$#,##0")</f>
        <v>MAO Buffer
$3,206</v>
      </c>
      <c r="E10" s="53"/>
      <c r="F10" s="53"/>
      <c r="G10" s="54" t="str">
        <f>"Profit Margin"&amp;CHAR(10)&amp;TEXT('Flip Analysis'!C13,"0.0%")</f>
        <v>Profit Margin
13.4%</v>
      </c>
      <c r="H10" s="54"/>
      <c r="I10" s="54"/>
      <c r="J10" s="55" t="str">
        <f>"Cash-on-Cost ROI"&amp;CHAR(10)&amp;TEXT('Flip Analysis'!C14,"0.0%")</f>
        <v>Cash-on-Cost ROI
15.5%</v>
      </c>
      <c r="K10" s="55"/>
      <c r="L10" s="55"/>
      <c r="M10" s="55"/>
      <c r="N10" s="55"/>
      <c r="P10" t="s">
        <v>20</v>
      </c>
      <c r="Q10" t="s">
        <v>7</v>
      </c>
    </row>
    <row r="11" spans="1:20" ht="17.55" customHeight="1">
      <c r="A11" s="52"/>
      <c r="B11" s="52"/>
      <c r="C11" s="52"/>
      <c r="D11" s="53"/>
      <c r="E11" s="53"/>
      <c r="F11" s="53"/>
      <c r="G11" s="54"/>
      <c r="H11" s="54"/>
      <c r="I11" s="54"/>
      <c r="J11" s="55"/>
      <c r="K11" s="55"/>
      <c r="L11" s="55"/>
      <c r="M11" s="55"/>
      <c r="N11" s="55"/>
      <c r="P11" t="s">
        <v>22</v>
      </c>
      <c r="Q11">
        <f>SUMIFS('Scope Builder'!$U$2:$U$251,'Scope Builder'!$A$2:$A$251,"Yes",'Scope Builder'!$C$2:$C$251,P11)</f>
        <v>495.00000000000006</v>
      </c>
    </row>
    <row r="12" spans="1:20" ht="17.55" customHeight="1">
      <c r="A12" s="52"/>
      <c r="B12" s="52"/>
      <c r="C12" s="52"/>
      <c r="D12" s="53"/>
      <c r="E12" s="53"/>
      <c r="F12" s="53"/>
      <c r="G12" s="54"/>
      <c r="H12" s="54"/>
      <c r="I12" s="54"/>
      <c r="J12" s="55"/>
      <c r="K12" s="55"/>
      <c r="L12" s="55"/>
      <c r="M12" s="55"/>
      <c r="N12" s="55"/>
      <c r="P12" t="s">
        <v>24</v>
      </c>
      <c r="Q12">
        <f>SUMIFS('Scope Builder'!$U$2:$U$251,'Scope Builder'!$A$2:$A$251,"Yes",'Scope Builder'!$C$2:$C$251,P12)</f>
        <v>0</v>
      </c>
    </row>
    <row r="13" spans="1:20" ht="17.55" customHeight="1">
      <c r="A13" s="52"/>
      <c r="B13" s="52"/>
      <c r="C13" s="52"/>
      <c r="D13" s="53"/>
      <c r="E13" s="53"/>
      <c r="F13" s="53"/>
      <c r="G13" s="54"/>
      <c r="H13" s="54"/>
      <c r="I13" s="54"/>
      <c r="J13" s="55"/>
      <c r="K13" s="55"/>
      <c r="L13" s="55"/>
      <c r="M13" s="55"/>
      <c r="N13" s="55"/>
      <c r="P13" t="s">
        <v>26</v>
      </c>
      <c r="Q13">
        <f>SUMIFS('Scope Builder'!$U$2:$U$251,'Scope Builder'!$A$2:$A$251,"Yes",'Scope Builder'!$C$2:$C$251,P13)</f>
        <v>13970.000000000002</v>
      </c>
    </row>
    <row r="14" spans="1:20" ht="17.5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P14" t="s">
        <v>28</v>
      </c>
      <c r="Q14">
        <f>SUMIFS('Scope Builder'!$U$2:$U$251,'Scope Builder'!$A$2:$A$251,"Yes",'Scope Builder'!$C$2:$C$251,P14)</f>
        <v>3960.0000000000005</v>
      </c>
    </row>
    <row r="15" spans="1:20" ht="17.55" customHeight="1">
      <c r="A15" s="56" t="str">
        <f>"DEAL HEALTH"&amp;CHAR(10)&amp;IF('Flip Analysis'!C17&lt;0,"REVIEW — OVER MAO",IF('Flip Analysis'!C17/'Flip Analysis'!C4&lt;0.05,"CAUTION — THIN BUFFER","WITHIN TARGET RANGE"))</f>
        <v>DEAL HEALTH
CAUTION — THIN BUFFER</v>
      </c>
      <c r="B15" s="56"/>
      <c r="C15" s="56"/>
      <c r="D15" s="56"/>
      <c r="E15" s="57" t="str">
        <f>"Estimate Maturity"&amp;CHAR(10)&amp;TEXT(IF(SUM('Scope Builder'!AW2:AW251)=0,0,SUM('Scope Builder'!AY2:AY251)/SUM('Scope Builder'!AW2:AW251)),"0.0%")</f>
        <v>Estimate Maturity
98.0%</v>
      </c>
      <c r="F15" s="57"/>
      <c r="G15" s="57"/>
      <c r="H15" s="58" t="str">
        <f>"Contractor Quote Coverage"&amp;CHAR(10)&amp;TEXT('Cost Dashboard'!D16,"0.0%")</f>
        <v>Contractor Quote Coverage
1.6%</v>
      </c>
      <c r="I15" s="58"/>
      <c r="J15" s="58"/>
      <c r="K15" s="59" t="str">
        <f>"Critical Items"&amp;CHAR(10)&amp;TEXT(Dashboard!D10,"0")</f>
        <v>Critical Items
4</v>
      </c>
      <c r="L15" s="59"/>
      <c r="M15" s="59"/>
      <c r="N15" s="59"/>
      <c r="P15" t="s">
        <v>30</v>
      </c>
      <c r="Q15">
        <f>SUMIFS('Scope Builder'!$U$2:$U$251,'Scope Builder'!$A$2:$A$251,"Yes",'Scope Builder'!$C$2:$C$251,P15)</f>
        <v>2530</v>
      </c>
    </row>
    <row r="16" spans="1:20" ht="17.55" customHeight="1">
      <c r="A16" s="56"/>
      <c r="B16" s="56"/>
      <c r="C16" s="56"/>
      <c r="D16" s="56"/>
      <c r="E16" s="57"/>
      <c r="F16" s="57"/>
      <c r="G16" s="57"/>
      <c r="H16" s="58"/>
      <c r="I16" s="58"/>
      <c r="J16" s="58"/>
      <c r="K16" s="59"/>
      <c r="L16" s="59"/>
      <c r="M16" s="59"/>
      <c r="N16" s="59"/>
      <c r="P16" t="s">
        <v>32</v>
      </c>
      <c r="Q16">
        <f>SUMIFS('Scope Builder'!$U$2:$U$251,'Scope Builder'!$A$2:$A$251,"Yes",'Scope Builder'!$C$2:$C$251,P16)</f>
        <v>8360</v>
      </c>
    </row>
    <row r="17" spans="1:17" ht="17.55" customHeight="1">
      <c r="A17" s="56"/>
      <c r="B17" s="56"/>
      <c r="C17" s="56"/>
      <c r="D17" s="56"/>
      <c r="E17" s="57"/>
      <c r="F17" s="57"/>
      <c r="G17" s="57"/>
      <c r="H17" s="58"/>
      <c r="I17" s="58"/>
      <c r="J17" s="58"/>
      <c r="K17" s="59"/>
      <c r="L17" s="59"/>
      <c r="M17" s="59"/>
      <c r="N17" s="59"/>
      <c r="P17" t="s">
        <v>34</v>
      </c>
      <c r="Q17">
        <f>SUMIFS('Scope Builder'!$U$2:$U$251,'Scope Builder'!$A$2:$A$251,"Yes",'Scope Builder'!$C$2:$C$251,P17)</f>
        <v>8690</v>
      </c>
    </row>
    <row r="18" spans="1:17" ht="17.55" customHeight="1">
      <c r="A18" s="56"/>
      <c r="B18" s="56"/>
      <c r="C18" s="56"/>
      <c r="D18" s="56"/>
      <c r="E18" s="57"/>
      <c r="F18" s="57"/>
      <c r="G18" s="57"/>
      <c r="H18" s="58"/>
      <c r="I18" s="58"/>
      <c r="J18" s="58"/>
      <c r="K18" s="59"/>
      <c r="L18" s="59"/>
      <c r="M18" s="59"/>
      <c r="N18" s="59"/>
      <c r="P18" t="s">
        <v>36</v>
      </c>
      <c r="Q18">
        <f>SUMIFS('Scope Builder'!$U$2:$U$251,'Scope Builder'!$A$2:$A$251,"Yes",'Scope Builder'!$C$2:$C$251,P18)</f>
        <v>5060</v>
      </c>
    </row>
    <row r="19" spans="1:17" ht="14.4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P19" t="s">
        <v>38</v>
      </c>
      <c r="Q19">
        <f>SUMIFS('Scope Builder'!$U$2:$U$251,'Scope Builder'!$A$2:$A$251,"Yes",'Scope Builder'!$C$2:$C$251,P19)</f>
        <v>26950.000000000004</v>
      </c>
    </row>
    <row r="20" spans="1:17" ht="14.4">
      <c r="A20" s="50" t="s">
        <v>4</v>
      </c>
      <c r="B20" s="50"/>
      <c r="C20" s="50"/>
      <c r="D20" s="50"/>
      <c r="E20" s="50"/>
      <c r="F20" s="50"/>
      <c r="G20" s="50" t="s">
        <v>837</v>
      </c>
      <c r="H20" s="50"/>
      <c r="I20" s="50"/>
      <c r="J20" s="50"/>
      <c r="K20" s="50"/>
      <c r="L20" s="50"/>
      <c r="M20" s="50"/>
      <c r="N20" s="50"/>
      <c r="P20" t="s">
        <v>39</v>
      </c>
      <c r="Q20">
        <f>SUMIFS('Scope Builder'!$U$2:$U$251,'Scope Builder'!$A$2:$A$251,"Yes",'Scope Builder'!$C$2:$C$251,P20)</f>
        <v>8250</v>
      </c>
    </row>
    <row r="21" spans="1:17" ht="14.4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P21" t="s">
        <v>40</v>
      </c>
      <c r="Q21">
        <f>SUMIFS('Scope Builder'!$U$2:$U$251,'Scope Builder'!$A$2:$A$251,"Yes",'Scope Builder'!$C$2:$C$251,P21)</f>
        <v>10890</v>
      </c>
    </row>
    <row r="22" spans="1:17" ht="14.4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P22" t="s">
        <v>41</v>
      </c>
      <c r="Q22">
        <f>SUMIFS('Scope Builder'!$U$2:$U$251,'Scope Builder'!$A$2:$A$251,"Yes",'Scope Builder'!$C$2:$C$251,P22)</f>
        <v>880</v>
      </c>
    </row>
    <row r="23" spans="1:17" ht="14.4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P23" t="s">
        <v>42</v>
      </c>
      <c r="Q23">
        <f>SUMIFS('Scope Builder'!$U$2:$U$251,'Scope Builder'!$A$2:$A$251,"Yes",'Scope Builder'!$C$2:$C$251,P23)</f>
        <v>715.00000000000011</v>
      </c>
    </row>
    <row r="24" spans="1:17" ht="14.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P24" t="s">
        <v>43</v>
      </c>
      <c r="Q24">
        <f>SUMIFS('Scope Builder'!$U$2:$U$251,'Scope Builder'!$A$2:$A$251,"Yes",'Scope Builder'!$C$2:$C$251,P24)</f>
        <v>5940.0000000000009</v>
      </c>
    </row>
    <row r="25" spans="1:17" ht="14.4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7" ht="14.4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7" ht="14.4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7" ht="14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7" ht="14.4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17" ht="14.4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17" ht="14.4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7" ht="14.4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 ht="14.4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14.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1:14" ht="14.4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4" ht="14.4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1:14" ht="14.4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</row>
    <row r="38" spans="1:14" ht="14.4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ht="14.4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spans="1:14" ht="14.4">
      <c r="A40" s="50" t="s">
        <v>838</v>
      </c>
      <c r="B40" s="50"/>
      <c r="C40" s="50"/>
      <c r="D40" s="50"/>
      <c r="E40" s="50"/>
      <c r="F40" s="50"/>
      <c r="G40" s="50"/>
      <c r="H40" s="50" t="s">
        <v>839</v>
      </c>
      <c r="I40" s="50"/>
      <c r="J40" s="50"/>
      <c r="K40" s="50"/>
      <c r="L40" s="50"/>
      <c r="M40" s="50"/>
      <c r="N40" s="50"/>
    </row>
    <row r="41" spans="1:14" ht="14.4">
      <c r="A41" s="42"/>
      <c r="B41" s="42"/>
      <c r="C41" s="42"/>
      <c r="D41" s="42"/>
      <c r="E41" s="42"/>
      <c r="F41" s="42"/>
      <c r="G41" s="42"/>
      <c r="H41" s="51" t="s">
        <v>710</v>
      </c>
      <c r="I41" s="51"/>
      <c r="J41" s="51" t="s">
        <v>48</v>
      </c>
      <c r="K41" s="51"/>
      <c r="L41" s="51" t="s">
        <v>840</v>
      </c>
      <c r="M41" s="51"/>
      <c r="N41" s="51"/>
    </row>
    <row r="42" spans="1:14" ht="14.4">
      <c r="A42" s="42"/>
      <c r="B42" s="42"/>
      <c r="C42" s="42"/>
      <c r="D42" s="42"/>
      <c r="E42" s="42"/>
      <c r="F42" s="42"/>
      <c r="G42" s="42"/>
      <c r="H42" s="44" t="s">
        <v>734</v>
      </c>
      <c r="I42" s="44"/>
      <c r="J42" s="48">
        <f>'Flip Analysis'!C27</f>
        <v>64.459999999999994</v>
      </c>
      <c r="K42" s="46"/>
      <c r="L42" s="47" t="s">
        <v>841</v>
      </c>
      <c r="M42" s="47"/>
      <c r="N42" s="47"/>
    </row>
    <row r="43" spans="1:14" ht="14.4">
      <c r="A43" s="42"/>
      <c r="B43" s="42"/>
      <c r="C43" s="42"/>
      <c r="D43" s="42"/>
      <c r="E43" s="42"/>
      <c r="F43" s="42"/>
      <c r="G43" s="42"/>
      <c r="H43" s="44" t="s">
        <v>732</v>
      </c>
      <c r="I43" s="44"/>
      <c r="J43" s="48">
        <f>'Flip Analysis'!C26</f>
        <v>55.847568988173457</v>
      </c>
      <c r="K43" s="46"/>
      <c r="L43" s="47" t="s">
        <v>842</v>
      </c>
      <c r="M43" s="47"/>
      <c r="N43" s="47"/>
    </row>
    <row r="44" spans="1:14" ht="14.4">
      <c r="A44" s="42"/>
      <c r="B44" s="42"/>
      <c r="C44" s="42"/>
      <c r="D44" s="42"/>
      <c r="E44" s="42"/>
      <c r="F44" s="42"/>
      <c r="G44" s="42"/>
      <c r="H44" s="44" t="s">
        <v>755</v>
      </c>
      <c r="I44" s="44"/>
      <c r="J44" s="48">
        <f>'Flip Analysis'!C40</f>
        <v>335.55868101182659</v>
      </c>
      <c r="K44" s="46"/>
      <c r="L44" s="47" t="s">
        <v>843</v>
      </c>
      <c r="M44" s="47"/>
      <c r="N44" s="47"/>
    </row>
    <row r="45" spans="1:14" ht="14.4">
      <c r="A45" s="42"/>
      <c r="B45" s="42"/>
      <c r="C45" s="42"/>
      <c r="D45" s="42"/>
      <c r="E45" s="42"/>
      <c r="F45" s="42"/>
      <c r="G45" s="42"/>
      <c r="H45" s="44" t="s">
        <v>730</v>
      </c>
      <c r="I45" s="44"/>
      <c r="J45" s="49">
        <f>'Flip Analysis'!C24</f>
        <v>12</v>
      </c>
      <c r="K45" s="46"/>
      <c r="L45" s="47" t="s">
        <v>844</v>
      </c>
      <c r="M45" s="47"/>
      <c r="N45" s="47"/>
    </row>
    <row r="46" spans="1:14" ht="14.4">
      <c r="A46" s="42"/>
      <c r="B46" s="42"/>
      <c r="C46" s="42"/>
      <c r="D46" s="42"/>
      <c r="E46" s="42"/>
      <c r="F46" s="42"/>
      <c r="G46" s="42"/>
      <c r="H46" s="44" t="s">
        <v>742</v>
      </c>
      <c r="I46" s="44"/>
      <c r="J46" s="45">
        <f>'Flip Analysis'!C33</f>
        <v>7000</v>
      </c>
      <c r="K46" s="46"/>
      <c r="L46" s="47" t="s">
        <v>845</v>
      </c>
      <c r="M46" s="47"/>
      <c r="N46" s="47"/>
    </row>
    <row r="47" spans="1:14" ht="14.4">
      <c r="A47" s="42"/>
      <c r="B47" s="42"/>
      <c r="C47" s="42"/>
      <c r="D47" s="42"/>
      <c r="E47" s="42"/>
      <c r="F47" s="42"/>
      <c r="G47" s="42"/>
      <c r="H47" s="44" t="s">
        <v>846</v>
      </c>
      <c r="I47" s="44"/>
      <c r="J47" s="45">
        <f>'Flip Analysis'!C34</f>
        <v>3110</v>
      </c>
      <c r="K47" s="46"/>
      <c r="L47" s="47" t="s">
        <v>847</v>
      </c>
      <c r="M47" s="47"/>
      <c r="N47" s="47"/>
    </row>
    <row r="48" spans="1:14" ht="14.4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1:14" ht="14.4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1:14" ht="14.4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</row>
    <row r="51" spans="1:14" ht="14.4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</row>
    <row r="52" spans="1:14" ht="14.4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1:14" ht="14.4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</row>
    <row r="54" spans="1:14" ht="14.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</row>
    <row r="55" spans="1:14" ht="14.4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</row>
    <row r="56" spans="1:14" ht="14.4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</row>
    <row r="57" spans="1:14" ht="14.4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</row>
    <row r="58" spans="1:14" ht="14.4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</row>
    <row r="59" spans="1:14" ht="14.4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</row>
    <row r="60" spans="1:14" ht="14.4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</row>
    <row r="61" spans="1:14" ht="14.4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spans="1:14" ht="14.4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</row>
    <row r="63" spans="1:14" ht="14.4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</row>
    <row r="64" spans="1:14">
      <c r="A64" s="43" t="s">
        <v>848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</row>
    <row r="66" spans="1:14" ht="14.4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1:14" ht="14.4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</row>
    <row r="68" spans="1:14" ht="14.4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</row>
    <row r="69" spans="1:14" ht="14.4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</row>
    <row r="70" spans="1:14" ht="14.4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</row>
  </sheetData>
  <mergeCells count="40">
    <mergeCell ref="A1:N2"/>
    <mergeCell ref="A3:N3"/>
    <mergeCell ref="A5:C8"/>
    <mergeCell ref="D5:F8"/>
    <mergeCell ref="G5:I8"/>
    <mergeCell ref="J5:N8"/>
    <mergeCell ref="A10:C13"/>
    <mergeCell ref="D10:F13"/>
    <mergeCell ref="G10:I13"/>
    <mergeCell ref="J10:N13"/>
    <mergeCell ref="A15:D18"/>
    <mergeCell ref="E15:G18"/>
    <mergeCell ref="H15:J18"/>
    <mergeCell ref="K15:N18"/>
    <mergeCell ref="A20:F20"/>
    <mergeCell ref="G20:N20"/>
    <mergeCell ref="A40:G40"/>
    <mergeCell ref="H40:N40"/>
    <mergeCell ref="H41:I41"/>
    <mergeCell ref="J41:K41"/>
    <mergeCell ref="L41:N41"/>
    <mergeCell ref="H42:I42"/>
    <mergeCell ref="J42:K42"/>
    <mergeCell ref="L42:N42"/>
    <mergeCell ref="H43:I43"/>
    <mergeCell ref="J43:K43"/>
    <mergeCell ref="L43:N43"/>
    <mergeCell ref="H44:I44"/>
    <mergeCell ref="J44:K44"/>
    <mergeCell ref="L44:N44"/>
    <mergeCell ref="H45:I45"/>
    <mergeCell ref="J45:K45"/>
    <mergeCell ref="L45:N45"/>
    <mergeCell ref="A64:N65"/>
    <mergeCell ref="H46:I46"/>
    <mergeCell ref="J46:K46"/>
    <mergeCell ref="L46:N46"/>
    <mergeCell ref="H47:I47"/>
    <mergeCell ref="J47:K47"/>
    <mergeCell ref="L47:N47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900-000001000000}">
            <xm:f>'Flip Analysis'!C17&lt;0</xm:f>
            <x14:dxf>
              <font>
                <b/>
                <color rgb="FFC00000"/>
              </font>
              <fill>
                <patternFill patternType="solid">
                  <bgColor rgb="FFFCE8E6"/>
                </patternFill>
              </fill>
            </x14:dxf>
          </x14:cfRule>
          <x14:cfRule type="expression" priority="2" id="{00000000-000E-0000-0900-000002000000}">
            <xm:f>AND('Flip Analysis'!C17&gt;=0,'Flip Analysis'!C17/'Flip Analysis'!C4&gt;=0.05)</xm:f>
            <x14:dxf>
              <font>
                <b/>
                <color rgb="FF196B24"/>
              </font>
              <fill>
                <patternFill patternType="solid">
                  <bgColor rgb="FFE2F0D9"/>
                </patternFill>
              </fill>
            </x14:dxf>
          </x14:cfRule>
          <xm:sqref>A15:D18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0"/>
  <sheetViews>
    <sheetView topLeftCell="A30" workbookViewId="0">
      <selection sqref="A1:N2"/>
    </sheetView>
  </sheetViews>
  <sheetFormatPr defaultRowHeight="13.8"/>
  <cols>
    <col min="1" max="14" width="12" customWidth="1"/>
    <col min="16" max="20" width="2" customWidth="1"/>
  </cols>
  <sheetData>
    <row r="1" spans="1:18">
      <c r="A1" s="60" t="s">
        <v>849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8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P2" t="s">
        <v>815</v>
      </c>
      <c r="Q2" t="s">
        <v>816</v>
      </c>
    </row>
    <row r="3" spans="1:18">
      <c r="A3" s="61" t="s">
        <v>850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P3" t="s">
        <v>819</v>
      </c>
      <c r="Q3">
        <f>'Cost Dashboard'!B22</f>
        <v>42769</v>
      </c>
    </row>
    <row r="4" spans="1:18" ht="14.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P4" t="s">
        <v>820</v>
      </c>
      <c r="Q4">
        <f>'Cost Dashboard'!B23</f>
        <v>32830</v>
      </c>
    </row>
    <row r="5" spans="1:18" ht="17.55" customHeight="1">
      <c r="A5" s="54" t="str">
        <f>"Material Cost"&amp;CHAR(10)&amp;TEXT('Cost Dashboard'!B22,"$#,##0")</f>
        <v>Material Cost
$42,769</v>
      </c>
      <c r="B5" s="54"/>
      <c r="C5" s="54"/>
      <c r="D5" s="55" t="str">
        <f>"Labor Cost"&amp;CHAR(10)&amp;TEXT('Cost Dashboard'!B23,"$#,##0")</f>
        <v>Labor Cost
$32,830</v>
      </c>
      <c r="E5" s="55"/>
      <c r="F5" s="55"/>
      <c r="G5" s="53" t="str">
        <f>"Other Cost"&amp;CHAR(10)&amp;TEXT('Cost Dashboard'!B24,"$#,##0")</f>
        <v>Other Cost
$12,301</v>
      </c>
      <c r="H5" s="53"/>
      <c r="I5" s="53"/>
      <c r="J5" s="63" t="str">
        <f>"Contingency"&amp;CHAR(10)&amp;TEXT('Cost Dashboard'!B25,"$#,##0")</f>
        <v>Contingency
$8,790</v>
      </c>
      <c r="K5" s="63"/>
      <c r="L5" s="63"/>
      <c r="M5" s="63"/>
      <c r="N5" s="63"/>
      <c r="P5" t="s">
        <v>821</v>
      </c>
      <c r="Q5">
        <f>'Cost Dashboard'!B24</f>
        <v>12301</v>
      </c>
    </row>
    <row r="6" spans="1:18" ht="17.55" customHeight="1">
      <c r="A6" s="54"/>
      <c r="B6" s="54"/>
      <c r="C6" s="54"/>
      <c r="D6" s="55"/>
      <c r="E6" s="55"/>
      <c r="F6" s="55"/>
      <c r="G6" s="53"/>
      <c r="H6" s="53"/>
      <c r="I6" s="53"/>
      <c r="J6" s="63"/>
      <c r="K6" s="63"/>
      <c r="L6" s="63"/>
      <c r="M6" s="63"/>
      <c r="N6" s="63"/>
      <c r="P6" t="s">
        <v>822</v>
      </c>
      <c r="Q6">
        <f>'Cost Dashboard'!B25</f>
        <v>8790.0000000000073</v>
      </c>
    </row>
    <row r="7" spans="1:18" ht="17.55" customHeight="1">
      <c r="A7" s="54"/>
      <c r="B7" s="54"/>
      <c r="C7" s="54"/>
      <c r="D7" s="55"/>
      <c r="E7" s="55"/>
      <c r="F7" s="55"/>
      <c r="G7" s="53"/>
      <c r="H7" s="53"/>
      <c r="I7" s="53"/>
      <c r="J7" s="63"/>
      <c r="K7" s="63"/>
      <c r="L7" s="63"/>
      <c r="M7" s="63"/>
      <c r="N7" s="63"/>
    </row>
    <row r="8" spans="1:18" ht="17.55" customHeight="1">
      <c r="A8" s="54"/>
      <c r="B8" s="54"/>
      <c r="C8" s="54"/>
      <c r="D8" s="55"/>
      <c r="E8" s="55"/>
      <c r="F8" s="55"/>
      <c r="G8" s="53"/>
      <c r="H8" s="53"/>
      <c r="I8" s="53"/>
      <c r="J8" s="63"/>
      <c r="K8" s="63"/>
      <c r="L8" s="63"/>
      <c r="M8" s="63"/>
      <c r="N8" s="63"/>
    </row>
    <row r="9" spans="1:18" ht="17.5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8" ht="17.55" customHeight="1">
      <c r="A10" s="54" t="str">
        <f>"Material %"&amp;CHAR(10)&amp;TEXT('Cost Dashboard'!C22,"0.0%")</f>
        <v>Material %
48.7%</v>
      </c>
      <c r="B10" s="54"/>
      <c r="C10" s="54"/>
      <c r="D10" s="55" t="str">
        <f>"Labor %"&amp;CHAR(10)&amp;TEXT('Cost Dashboard'!C23,"0.0%")</f>
        <v>Labor %
37.3%</v>
      </c>
      <c r="E10" s="55"/>
      <c r="F10" s="55"/>
      <c r="G10" s="53" t="str">
        <f>"Labor / Material"&amp;CHAR(10)&amp;TEXT('Cost Dashboard'!B79,"0.00")&amp;"x"</f>
        <v>Labor / Material
0.77x</v>
      </c>
      <c r="H10" s="53"/>
      <c r="I10" s="53"/>
      <c r="J10" s="52" t="str">
        <f>"Estimate Maturity"&amp;CHAR(10)&amp;TEXT(IF(SUM('Scope Builder'!AW2:AW251)=0,0,SUM('Scope Builder'!AY2:AY251)/SUM('Scope Builder'!AW2:AW251)),"0.0%")</f>
        <v>Estimate Maturity
98.0%</v>
      </c>
      <c r="K10" s="52"/>
      <c r="L10" s="52"/>
      <c r="M10" s="52"/>
      <c r="N10" s="52"/>
      <c r="P10" t="s">
        <v>20</v>
      </c>
      <c r="Q10" t="s">
        <v>851</v>
      </c>
      <c r="R10" t="s">
        <v>852</v>
      </c>
    </row>
    <row r="11" spans="1:18" ht="17.55" customHeight="1">
      <c r="A11" s="54"/>
      <c r="B11" s="54"/>
      <c r="C11" s="54"/>
      <c r="D11" s="55"/>
      <c r="E11" s="55"/>
      <c r="F11" s="55"/>
      <c r="G11" s="53"/>
      <c r="H11" s="53"/>
      <c r="I11" s="53"/>
      <c r="J11" s="52"/>
      <c r="K11" s="52"/>
      <c r="L11" s="52"/>
      <c r="M11" s="52"/>
      <c r="N11" s="52"/>
      <c r="P11" t="s">
        <v>22</v>
      </c>
      <c r="Q11">
        <f>'Cost Dashboard'!B61</f>
        <v>440.00000000000006</v>
      </c>
      <c r="R11">
        <f>'Cost Dashboard'!C61</f>
        <v>495.00000000000006</v>
      </c>
    </row>
    <row r="12" spans="1:18" ht="17.55" customHeight="1">
      <c r="A12" s="54"/>
      <c r="B12" s="54"/>
      <c r="C12" s="54"/>
      <c r="D12" s="55"/>
      <c r="E12" s="55"/>
      <c r="F12" s="55"/>
      <c r="G12" s="53"/>
      <c r="H12" s="53"/>
      <c r="I12" s="53"/>
      <c r="J12" s="52"/>
      <c r="K12" s="52"/>
      <c r="L12" s="52"/>
      <c r="M12" s="52"/>
      <c r="N12" s="52"/>
      <c r="P12" t="s">
        <v>24</v>
      </c>
      <c r="Q12">
        <f>'Cost Dashboard'!B62</f>
        <v>0</v>
      </c>
      <c r="R12">
        <f>'Cost Dashboard'!C62</f>
        <v>0</v>
      </c>
    </row>
    <row r="13" spans="1:18" ht="17.55" customHeight="1">
      <c r="A13" s="54"/>
      <c r="B13" s="54"/>
      <c r="C13" s="54"/>
      <c r="D13" s="55"/>
      <c r="E13" s="55"/>
      <c r="F13" s="55"/>
      <c r="G13" s="53"/>
      <c r="H13" s="53"/>
      <c r="I13" s="53"/>
      <c r="J13" s="52"/>
      <c r="K13" s="52"/>
      <c r="L13" s="52"/>
      <c r="M13" s="52"/>
      <c r="N13" s="52"/>
      <c r="P13" t="s">
        <v>26</v>
      </c>
      <c r="Q13">
        <f>'Cost Dashboard'!B63</f>
        <v>12370.6</v>
      </c>
      <c r="R13">
        <f>'Cost Dashboard'!C63</f>
        <v>13970.000000000002</v>
      </c>
    </row>
    <row r="14" spans="1:18" ht="14.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P14" t="s">
        <v>28</v>
      </c>
      <c r="Q14">
        <f>'Cost Dashboard'!B64</f>
        <v>3300.0000000000005</v>
      </c>
      <c r="R14">
        <f>'Cost Dashboard'!C64</f>
        <v>3960.0000000000005</v>
      </c>
    </row>
    <row r="15" spans="1:18" ht="14.4">
      <c r="A15" s="50" t="s">
        <v>853</v>
      </c>
      <c r="B15" s="50"/>
      <c r="C15" s="50"/>
      <c r="D15" s="50"/>
      <c r="E15" s="50"/>
      <c r="F15" s="50"/>
      <c r="G15" s="50" t="s">
        <v>854</v>
      </c>
      <c r="H15" s="50"/>
      <c r="I15" s="50"/>
      <c r="J15" s="50"/>
      <c r="K15" s="50"/>
      <c r="L15" s="50"/>
      <c r="M15" s="50"/>
      <c r="N15" s="50"/>
      <c r="P15" t="s">
        <v>30</v>
      </c>
      <c r="Q15">
        <f>'Cost Dashboard'!B65</f>
        <v>2200</v>
      </c>
      <c r="R15">
        <f>'Cost Dashboard'!C65</f>
        <v>2530</v>
      </c>
    </row>
    <row r="16" spans="1:18" ht="14.4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P16" t="s">
        <v>32</v>
      </c>
      <c r="Q16">
        <f>'Cost Dashboard'!B66</f>
        <v>7920.0000000000009</v>
      </c>
      <c r="R16">
        <f>'Cost Dashboard'!C66</f>
        <v>8360</v>
      </c>
    </row>
    <row r="17" spans="1:18" ht="14.4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P17" t="s">
        <v>34</v>
      </c>
      <c r="Q17">
        <f>'Cost Dashboard'!B67</f>
        <v>7846.3</v>
      </c>
      <c r="R17">
        <f>'Cost Dashboard'!C67</f>
        <v>8690</v>
      </c>
    </row>
    <row r="18" spans="1:18" ht="14.4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P18" t="s">
        <v>36</v>
      </c>
      <c r="Q18">
        <f>'Cost Dashboard'!B68</f>
        <v>4950</v>
      </c>
      <c r="R18">
        <f>'Cost Dashboard'!C68</f>
        <v>5060</v>
      </c>
    </row>
    <row r="19" spans="1:18" ht="14.4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P19" t="s">
        <v>38</v>
      </c>
      <c r="Q19">
        <f>'Cost Dashboard'!B69</f>
        <v>28600.000000000004</v>
      </c>
      <c r="R19">
        <f>'Cost Dashboard'!C69</f>
        <v>26950.000000000004</v>
      </c>
    </row>
    <row r="20" spans="1:18" ht="14.4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P20" t="s">
        <v>39</v>
      </c>
      <c r="Q20">
        <f>'Cost Dashboard'!B70</f>
        <v>5500</v>
      </c>
      <c r="R20">
        <f>'Cost Dashboard'!C70</f>
        <v>8250</v>
      </c>
    </row>
    <row r="21" spans="1:18" ht="14.4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P21" t="s">
        <v>40</v>
      </c>
      <c r="Q21">
        <f>'Cost Dashboard'!B71</f>
        <v>8970.5</v>
      </c>
      <c r="R21">
        <f>'Cost Dashboard'!C71</f>
        <v>10890</v>
      </c>
    </row>
    <row r="22" spans="1:18" ht="14.4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P22" t="s">
        <v>41</v>
      </c>
      <c r="Q22">
        <f>'Cost Dashboard'!B72</f>
        <v>0</v>
      </c>
      <c r="R22">
        <f>'Cost Dashboard'!C72</f>
        <v>0</v>
      </c>
    </row>
    <row r="23" spans="1:18" ht="14.4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P23" t="s">
        <v>42</v>
      </c>
      <c r="Q23">
        <f>'Cost Dashboard'!B73</f>
        <v>0</v>
      </c>
      <c r="R23">
        <f>'Cost Dashboard'!C73</f>
        <v>0</v>
      </c>
    </row>
    <row r="24" spans="1:18" ht="14.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P24" t="s">
        <v>43</v>
      </c>
      <c r="Q24">
        <f>'Cost Dashboard'!B74</f>
        <v>4950</v>
      </c>
      <c r="R24">
        <f>'Cost Dashboard'!C74</f>
        <v>5940.0000000000009</v>
      </c>
    </row>
    <row r="25" spans="1:18" ht="14.4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8" ht="14.4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8" ht="14.4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8" ht="14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P28" t="s">
        <v>829</v>
      </c>
      <c r="Q28" t="s">
        <v>830</v>
      </c>
    </row>
    <row r="29" spans="1:18" ht="14.4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P29" t="s">
        <v>855</v>
      </c>
      <c r="Q29">
        <v>1</v>
      </c>
    </row>
    <row r="30" spans="1:18" ht="14.4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P30" t="s">
        <v>856</v>
      </c>
      <c r="Q30">
        <f>'Cost Dashboard'!B79</f>
        <v>0.76761205546073086</v>
      </c>
    </row>
    <row r="31" spans="1:18" ht="14.4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8" ht="14.4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7" ht="14.4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P33" t="s">
        <v>20</v>
      </c>
      <c r="Q33" t="s">
        <v>826</v>
      </c>
    </row>
    <row r="34" spans="1:17" ht="14.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P34" t="s">
        <v>22</v>
      </c>
      <c r="Q34">
        <f>'Cost Dashboard'!D61</f>
        <v>55</v>
      </c>
    </row>
    <row r="35" spans="1:17" ht="14.4">
      <c r="A35" s="50" t="s">
        <v>857</v>
      </c>
      <c r="B35" s="50"/>
      <c r="C35" s="50"/>
      <c r="D35" s="50"/>
      <c r="E35" s="50"/>
      <c r="F35" s="50"/>
      <c r="G35" s="50"/>
      <c r="H35" s="50"/>
      <c r="I35" s="50" t="s">
        <v>858</v>
      </c>
      <c r="J35" s="50"/>
      <c r="K35" s="50"/>
      <c r="L35" s="50"/>
      <c r="M35" s="50"/>
      <c r="N35" s="50"/>
      <c r="P35" t="s">
        <v>24</v>
      </c>
      <c r="Q35">
        <f>'Cost Dashboard'!D62</f>
        <v>0</v>
      </c>
    </row>
    <row r="36" spans="1:17" ht="14.4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P36" t="s">
        <v>26</v>
      </c>
      <c r="Q36">
        <f>'Cost Dashboard'!D63</f>
        <v>1599.4000000000015</v>
      </c>
    </row>
    <row r="37" spans="1:17" ht="14.4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P37" t="s">
        <v>28</v>
      </c>
      <c r="Q37">
        <f>'Cost Dashboard'!D64</f>
        <v>660</v>
      </c>
    </row>
    <row r="38" spans="1:17" ht="14.4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P38" t="s">
        <v>30</v>
      </c>
      <c r="Q38">
        <f>'Cost Dashboard'!D65</f>
        <v>330</v>
      </c>
    </row>
    <row r="39" spans="1:17" ht="14.4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P39" t="s">
        <v>32</v>
      </c>
      <c r="Q39">
        <f>'Cost Dashboard'!D66</f>
        <v>439.99999999999909</v>
      </c>
    </row>
    <row r="40" spans="1:17" ht="14.4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P40" t="s">
        <v>34</v>
      </c>
      <c r="Q40">
        <f>'Cost Dashboard'!D67</f>
        <v>843.69999999999982</v>
      </c>
    </row>
    <row r="41" spans="1:17" ht="14.4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P41" t="s">
        <v>36</v>
      </c>
      <c r="Q41">
        <f>'Cost Dashboard'!D68</f>
        <v>110</v>
      </c>
    </row>
    <row r="42" spans="1:17" ht="14.4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P42" t="s">
        <v>38</v>
      </c>
      <c r="Q42">
        <f>'Cost Dashboard'!D69</f>
        <v>-1650</v>
      </c>
    </row>
    <row r="43" spans="1:17" ht="14.4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P43" t="s">
        <v>39</v>
      </c>
      <c r="Q43">
        <f>'Cost Dashboard'!D70</f>
        <v>2750</v>
      </c>
    </row>
    <row r="44" spans="1:17" ht="14.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P44" t="s">
        <v>40</v>
      </c>
      <c r="Q44">
        <f>'Cost Dashboard'!D71</f>
        <v>1919.5</v>
      </c>
    </row>
    <row r="45" spans="1:17" ht="14.4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P45" t="s">
        <v>41</v>
      </c>
      <c r="Q45">
        <f>'Cost Dashboard'!D72</f>
        <v>0</v>
      </c>
    </row>
    <row r="46" spans="1:17" ht="14.4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P46" t="s">
        <v>42</v>
      </c>
      <c r="Q46">
        <f>'Cost Dashboard'!D73</f>
        <v>0</v>
      </c>
    </row>
    <row r="47" spans="1:17" ht="14.4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P47" t="s">
        <v>43</v>
      </c>
      <c r="Q47">
        <f>'Cost Dashboard'!D74</f>
        <v>990.00000000000091</v>
      </c>
    </row>
    <row r="48" spans="1:17" ht="14.4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1:14" ht="14.4">
      <c r="A49" s="42"/>
      <c r="B49" s="42"/>
      <c r="C49" s="42"/>
      <c r="D49" s="42"/>
      <c r="E49" s="42"/>
      <c r="F49" s="42"/>
      <c r="G49" s="42"/>
      <c r="H49" s="42"/>
      <c r="I49" s="50" t="s">
        <v>859</v>
      </c>
      <c r="J49" s="50"/>
      <c r="K49" s="50"/>
      <c r="L49" s="50"/>
      <c r="M49" s="50"/>
      <c r="N49" s="50"/>
    </row>
    <row r="50" spans="1:14" ht="14.4">
      <c r="A50" s="42"/>
      <c r="B50" s="42"/>
      <c r="C50" s="42"/>
      <c r="D50" s="42"/>
      <c r="E50" s="42"/>
      <c r="F50" s="42"/>
      <c r="G50" s="42"/>
      <c r="H50" s="42"/>
      <c r="I50" s="94" t="s">
        <v>710</v>
      </c>
      <c r="J50" s="94"/>
      <c r="K50" s="94" t="s">
        <v>48</v>
      </c>
      <c r="L50" s="94"/>
      <c r="M50" s="94" t="s">
        <v>860</v>
      </c>
      <c r="N50" s="94"/>
    </row>
    <row r="51" spans="1:14" ht="14.4">
      <c r="A51" s="42"/>
      <c r="B51" s="42"/>
      <c r="C51" s="42"/>
      <c r="D51" s="42"/>
      <c r="E51" s="42"/>
      <c r="F51" s="42"/>
      <c r="G51" s="42"/>
      <c r="H51" s="42"/>
      <c r="I51" s="44" t="s">
        <v>810</v>
      </c>
      <c r="J51" s="44"/>
      <c r="K51" s="93">
        <f>'Cost Dashboard'!D15</f>
        <v>0.98350398179749721</v>
      </c>
      <c r="L51" s="46"/>
      <c r="M51" s="47" t="s">
        <v>861</v>
      </c>
      <c r="N51" s="47"/>
    </row>
    <row r="52" spans="1:14" ht="14.4">
      <c r="A52" s="42"/>
      <c r="B52" s="42"/>
      <c r="C52" s="42"/>
      <c r="D52" s="42"/>
      <c r="E52" s="42"/>
      <c r="F52" s="42"/>
      <c r="G52" s="42"/>
      <c r="H52" s="42"/>
      <c r="I52" s="44" t="s">
        <v>811</v>
      </c>
      <c r="J52" s="44"/>
      <c r="K52" s="93">
        <f>'Cost Dashboard'!D16</f>
        <v>1.6496018202502846E-2</v>
      </c>
      <c r="L52" s="46"/>
      <c r="M52" s="47" t="s">
        <v>862</v>
      </c>
      <c r="N52" s="47"/>
    </row>
    <row r="53" spans="1:14" ht="14.4">
      <c r="A53" s="42"/>
      <c r="B53" s="42"/>
      <c r="C53" s="42"/>
      <c r="D53" s="42"/>
      <c r="E53" s="42"/>
      <c r="F53" s="42"/>
      <c r="G53" s="42"/>
      <c r="H53" s="42"/>
      <c r="I53" s="44" t="s">
        <v>812</v>
      </c>
      <c r="J53" s="44"/>
      <c r="K53" s="93">
        <f>'Cost Dashboard'!D17</f>
        <v>0</v>
      </c>
      <c r="L53" s="46"/>
      <c r="M53" s="47" t="s">
        <v>863</v>
      </c>
      <c r="N53" s="47"/>
    </row>
    <row r="54" spans="1:14" ht="14.4">
      <c r="A54" s="42"/>
      <c r="B54" s="42"/>
      <c r="C54" s="42"/>
      <c r="D54" s="42"/>
      <c r="E54" s="42"/>
      <c r="F54" s="42"/>
      <c r="G54" s="42"/>
      <c r="H54" s="42"/>
      <c r="I54" s="44" t="s">
        <v>151</v>
      </c>
      <c r="J54" s="44"/>
      <c r="K54" s="45">
        <f>'Cost Dashboard'!I61</f>
        <v>87047.400000000009</v>
      </c>
      <c r="L54" s="46"/>
      <c r="M54" s="47" t="s">
        <v>864</v>
      </c>
      <c r="N54" s="47"/>
    </row>
    <row r="55" spans="1:14" ht="14.4">
      <c r="A55" s="42"/>
      <c r="B55" s="42"/>
      <c r="C55" s="42"/>
      <c r="D55" s="42"/>
      <c r="E55" s="42"/>
      <c r="F55" s="42"/>
      <c r="G55" s="42"/>
      <c r="H55" s="42"/>
      <c r="I55" s="44" t="s">
        <v>865</v>
      </c>
      <c r="J55" s="44"/>
      <c r="K55" s="45">
        <f>'Cost Dashboard'!I62</f>
        <v>95095</v>
      </c>
      <c r="L55" s="46"/>
      <c r="M55" s="47" t="s">
        <v>866</v>
      </c>
      <c r="N55" s="47"/>
    </row>
    <row r="56" spans="1:14" ht="14.4">
      <c r="A56" s="42"/>
      <c r="B56" s="42"/>
      <c r="C56" s="42"/>
      <c r="D56" s="42"/>
      <c r="E56" s="42"/>
      <c r="F56" s="42"/>
      <c r="G56" s="42"/>
      <c r="H56" s="42"/>
      <c r="I56" s="44" t="s">
        <v>153</v>
      </c>
      <c r="J56" s="44"/>
      <c r="K56" s="93">
        <f>IF(K54=0,0,(K55-K54)/K54)</f>
        <v>9.2450779690145715E-2</v>
      </c>
      <c r="L56" s="46"/>
      <c r="M56" s="47" t="s">
        <v>867</v>
      </c>
      <c r="N56" s="47"/>
    </row>
    <row r="57" spans="1:14" ht="14.4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</row>
    <row r="58" spans="1:14">
      <c r="A58" s="92" t="s">
        <v>868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</row>
    <row r="59" spans="1:14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</row>
    <row r="60" spans="1:14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</row>
    <row r="61" spans="1:14" ht="14.4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spans="1:14" ht="14.4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</row>
    <row r="63" spans="1:14" ht="14.4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</row>
    <row r="64" spans="1:14">
      <c r="A64" s="43" t="s">
        <v>848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</row>
    <row r="66" spans="1:14" ht="14.4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1:14" ht="14.4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</row>
    <row r="68" spans="1:14" ht="14.4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</row>
    <row r="69" spans="1:14" ht="14.4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</row>
    <row r="70" spans="1:14" ht="14.4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</row>
  </sheetData>
  <mergeCells count="38">
    <mergeCell ref="A1:N2"/>
    <mergeCell ref="A3:N3"/>
    <mergeCell ref="A5:C8"/>
    <mergeCell ref="D5:F8"/>
    <mergeCell ref="G5:I8"/>
    <mergeCell ref="J5:N8"/>
    <mergeCell ref="A10:C13"/>
    <mergeCell ref="D10:F13"/>
    <mergeCell ref="G10:I13"/>
    <mergeCell ref="J10:N13"/>
    <mergeCell ref="A15:F15"/>
    <mergeCell ref="G15:N15"/>
    <mergeCell ref="A35:H35"/>
    <mergeCell ref="I35:N35"/>
    <mergeCell ref="I49:N49"/>
    <mergeCell ref="I50:J50"/>
    <mergeCell ref="K50:L50"/>
    <mergeCell ref="M50:N50"/>
    <mergeCell ref="I51:J51"/>
    <mergeCell ref="K51:L51"/>
    <mergeCell ref="M51:N51"/>
    <mergeCell ref="I52:J52"/>
    <mergeCell ref="K52:L52"/>
    <mergeCell ref="M52:N52"/>
    <mergeCell ref="I53:J53"/>
    <mergeCell ref="K53:L53"/>
    <mergeCell ref="M53:N53"/>
    <mergeCell ref="I54:J54"/>
    <mergeCell ref="K54:L54"/>
    <mergeCell ref="M54:N54"/>
    <mergeCell ref="A58:N60"/>
    <mergeCell ref="A64:N65"/>
    <mergeCell ref="I55:J55"/>
    <mergeCell ref="K55:L55"/>
    <mergeCell ref="M55:N55"/>
    <mergeCell ref="I56:J56"/>
    <mergeCell ref="K56:L56"/>
    <mergeCell ref="M56:N5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0"/>
  <sheetViews>
    <sheetView topLeftCell="A4" workbookViewId="0">
      <selection sqref="A1:N2"/>
    </sheetView>
  </sheetViews>
  <sheetFormatPr defaultRowHeight="13.8"/>
  <cols>
    <col min="1" max="14" width="12" customWidth="1"/>
    <col min="16" max="20" width="2" customWidth="1"/>
  </cols>
  <sheetData>
    <row r="1" spans="1:17">
      <c r="A1" s="60" t="s">
        <v>869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7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P2" t="s">
        <v>870</v>
      </c>
      <c r="Q2" t="s">
        <v>871</v>
      </c>
    </row>
    <row r="3" spans="1:17">
      <c r="A3" s="61" t="s">
        <v>872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P3" t="s">
        <v>873</v>
      </c>
      <c r="Q3">
        <f>'Flip Analysis'!C22</f>
        <v>60</v>
      </c>
    </row>
    <row r="4" spans="1:17" ht="14.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P4" t="s">
        <v>874</v>
      </c>
      <c r="Q4">
        <f>'Flip Analysis'!C23</f>
        <v>72</v>
      </c>
    </row>
    <row r="5" spans="1:17" ht="17.55" customHeight="1">
      <c r="A5" s="53" t="str">
        <f>"Schedule Variance"&amp;CHAR(10)&amp;TEXT('Flip Analysis'!C24,"+0;-0;0")&amp;" days"</f>
        <v>Schedule Variance
+12 days</v>
      </c>
      <c r="B5" s="53"/>
      <c r="C5" s="53"/>
      <c r="D5" s="54" t="str">
        <f>"Holding Cost / Day"&amp;CHAR(10)&amp;TEXT('Flip Analysis'!C26,"$#,##0.00")</f>
        <v>Holding Cost / Day
$55.85</v>
      </c>
      <c r="E5" s="54"/>
      <c r="F5" s="54"/>
      <c r="G5" s="63" t="str">
        <f>"Profit / Day"&amp;CHAR(10)&amp;TEXT('Flip Analysis'!C40,"$#,##0;[Red]($#,##0)")</f>
        <v>Profit / Day
$336</v>
      </c>
      <c r="H5" s="63"/>
      <c r="I5" s="63"/>
      <c r="J5" s="55" t="str">
        <f>"Contingency Remaining"&amp;CHAR(10)&amp;TEXT('Flip Analysis'!C30,"$#,##0;[Red]($#,##0)")</f>
        <v>Contingency Remaining
$0</v>
      </c>
      <c r="K5" s="55"/>
      <c r="L5" s="55"/>
      <c r="M5" s="55"/>
      <c r="N5" s="55"/>
    </row>
    <row r="6" spans="1:17" ht="17.55" customHeight="1">
      <c r="A6" s="53"/>
      <c r="B6" s="53"/>
      <c r="C6" s="53"/>
      <c r="D6" s="54"/>
      <c r="E6" s="54"/>
      <c r="F6" s="54"/>
      <c r="G6" s="63"/>
      <c r="H6" s="63"/>
      <c r="I6" s="63"/>
      <c r="J6" s="55"/>
      <c r="K6" s="55"/>
      <c r="L6" s="55"/>
      <c r="M6" s="55"/>
      <c r="N6" s="55"/>
    </row>
    <row r="7" spans="1:17" ht="17.55" customHeight="1">
      <c r="A7" s="53"/>
      <c r="B7" s="53"/>
      <c r="C7" s="53"/>
      <c r="D7" s="54"/>
      <c r="E7" s="54"/>
      <c r="F7" s="54"/>
      <c r="G7" s="63"/>
      <c r="H7" s="63"/>
      <c r="I7" s="63"/>
      <c r="J7" s="55"/>
      <c r="K7" s="55"/>
      <c r="L7" s="55"/>
      <c r="M7" s="55"/>
      <c r="N7" s="55"/>
      <c r="P7" t="s">
        <v>875</v>
      </c>
      <c r="Q7" t="s">
        <v>712</v>
      </c>
    </row>
    <row r="8" spans="1:17" ht="17.55" customHeight="1">
      <c r="A8" s="53"/>
      <c r="B8" s="53"/>
      <c r="C8" s="53"/>
      <c r="D8" s="54"/>
      <c r="E8" s="54"/>
      <c r="F8" s="54"/>
      <c r="G8" s="63"/>
      <c r="H8" s="63"/>
      <c r="I8" s="63"/>
      <c r="J8" s="55"/>
      <c r="K8" s="55"/>
      <c r="L8" s="55"/>
      <c r="M8" s="55"/>
      <c r="N8" s="55"/>
      <c r="P8" t="s">
        <v>876</v>
      </c>
      <c r="Q8">
        <f>'Flip Analysis'!C6</f>
        <v>96690</v>
      </c>
    </row>
    <row r="9" spans="1:17" ht="17.5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P9" t="s">
        <v>874</v>
      </c>
      <c r="Q9">
        <f>'Flip Analysis'!C31</f>
        <v>99800</v>
      </c>
    </row>
    <row r="10" spans="1:17" ht="17.55" customHeight="1">
      <c r="A10" s="52" t="str">
        <f>"ARV Variance"&amp;CHAR(10)&amp;TEXT('Flip Analysis'!C33,"$#,##0;[Red]($#,##0)")</f>
        <v>ARV Variance
$7,000</v>
      </c>
      <c r="B10" s="52"/>
      <c r="C10" s="52"/>
      <c r="D10" s="53" t="str">
        <f>"Actual vs Budget"&amp;CHAR(10)&amp;TEXT('Flip Analysis'!C34,"$#,##0;[Red]($#,##0)")</f>
        <v>Actual vs Budget
$3,110</v>
      </c>
      <c r="E10" s="53"/>
      <c r="F10" s="53"/>
      <c r="G10" s="63" t="str">
        <f>"Actual Net Profit"&amp;CHAR(10)&amp;TEXT('Flip Analysis'!C39,"$#,##0;[Red]($#,##0)")</f>
        <v>Actual Net Profit
$42,952</v>
      </c>
      <c r="H10" s="63"/>
      <c r="I10" s="63"/>
      <c r="J10" s="54" t="str">
        <f>"Actual Sale Price"&amp;CHAR(10)&amp;TEXT('Flip Analysis'!C32,"$#,##0;[Red]($#,##0)")</f>
        <v>Actual Sale Price
$292,000</v>
      </c>
      <c r="K10" s="54"/>
      <c r="L10" s="54"/>
      <c r="M10" s="54"/>
      <c r="N10" s="54"/>
    </row>
    <row r="11" spans="1:17" ht="17.55" customHeight="1">
      <c r="A11" s="52"/>
      <c r="B11" s="52"/>
      <c r="C11" s="52"/>
      <c r="D11" s="53"/>
      <c r="E11" s="53"/>
      <c r="F11" s="53"/>
      <c r="G11" s="63"/>
      <c r="H11" s="63"/>
      <c r="I11" s="63"/>
      <c r="J11" s="54"/>
      <c r="K11" s="54"/>
      <c r="L11" s="54"/>
      <c r="M11" s="54"/>
      <c r="N11" s="54"/>
    </row>
    <row r="12" spans="1:17" ht="17.55" customHeight="1">
      <c r="A12" s="52"/>
      <c r="B12" s="52"/>
      <c r="C12" s="52"/>
      <c r="D12" s="53"/>
      <c r="E12" s="53"/>
      <c r="F12" s="53"/>
      <c r="G12" s="63"/>
      <c r="H12" s="63"/>
      <c r="I12" s="63"/>
      <c r="J12" s="54"/>
      <c r="K12" s="54"/>
      <c r="L12" s="54"/>
      <c r="M12" s="54"/>
      <c r="N12" s="54"/>
      <c r="P12" t="s">
        <v>877</v>
      </c>
      <c r="Q12" t="s">
        <v>712</v>
      </c>
    </row>
    <row r="13" spans="1:17" ht="17.55" customHeight="1">
      <c r="A13" s="52"/>
      <c r="B13" s="52"/>
      <c r="C13" s="52"/>
      <c r="D13" s="53"/>
      <c r="E13" s="53"/>
      <c r="F13" s="53"/>
      <c r="G13" s="63"/>
      <c r="H13" s="63"/>
      <c r="I13" s="63"/>
      <c r="J13" s="54"/>
      <c r="K13" s="54"/>
      <c r="L13" s="54"/>
      <c r="M13" s="54"/>
      <c r="N13" s="54"/>
      <c r="P13" t="s">
        <v>21</v>
      </c>
      <c r="Q13">
        <f>'Flip Analysis'!C5</f>
        <v>285000</v>
      </c>
    </row>
    <row r="14" spans="1:17" ht="14.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P14" t="s">
        <v>72</v>
      </c>
      <c r="Q14">
        <f>'Flip Analysis'!C32</f>
        <v>292000</v>
      </c>
    </row>
    <row r="15" spans="1:17" ht="14.4">
      <c r="A15" s="50" t="s">
        <v>878</v>
      </c>
      <c r="B15" s="50"/>
      <c r="C15" s="50"/>
      <c r="D15" s="50"/>
      <c r="E15" s="50"/>
      <c r="F15" s="50"/>
      <c r="G15" s="50"/>
      <c r="H15" s="50" t="s">
        <v>879</v>
      </c>
      <c r="I15" s="50"/>
      <c r="J15" s="50"/>
      <c r="K15" s="50"/>
      <c r="L15" s="50"/>
      <c r="M15" s="50"/>
      <c r="N15" s="50"/>
    </row>
    <row r="16" spans="1:17" ht="14.4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7" ht="14.4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P17" t="s">
        <v>880</v>
      </c>
      <c r="Q17" t="s">
        <v>712</v>
      </c>
    </row>
    <row r="18" spans="1:17" ht="14.4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P18" t="s">
        <v>27</v>
      </c>
      <c r="Q18">
        <f>'Flip Analysis'!C12</f>
        <v>38270</v>
      </c>
    </row>
    <row r="19" spans="1:17" ht="14.4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P19" t="s">
        <v>753</v>
      </c>
      <c r="Q19">
        <f>'Flip Analysis'!C39</f>
        <v>42951.511169513804</v>
      </c>
    </row>
    <row r="20" spans="1:17" ht="14.4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</row>
    <row r="21" spans="1:17" ht="14.4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</row>
    <row r="22" spans="1:17" ht="14.4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1:17" ht="14.4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1:17" ht="14.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7" ht="14.4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7" ht="14.4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7" ht="14.4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7" ht="14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7" ht="14.4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17" ht="14.4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17" ht="14.4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7" ht="14.4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 ht="14.4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14.4">
      <c r="A34" s="50" t="s">
        <v>881</v>
      </c>
      <c r="B34" s="50"/>
      <c r="C34" s="50"/>
      <c r="D34" s="50"/>
      <c r="E34" s="50"/>
      <c r="F34" s="50"/>
      <c r="G34" s="50"/>
      <c r="H34" s="50" t="s">
        <v>882</v>
      </c>
      <c r="I34" s="50"/>
      <c r="J34" s="50"/>
      <c r="K34" s="50"/>
      <c r="L34" s="50"/>
      <c r="M34" s="50"/>
      <c r="N34" s="50"/>
    </row>
    <row r="35" spans="1:14" ht="14.4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4" ht="14.4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1:14" ht="14.4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</row>
    <row r="38" spans="1:14" ht="14.4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ht="14.4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spans="1:14" ht="14.4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1:14" ht="14.4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1:14" ht="14.4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1:14" ht="14.4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1:14" ht="14.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spans="1:14" ht="14.4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1:14" ht="14.4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1:14" ht="14.4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1:14" ht="14.4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1:14" ht="14.4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1:14" ht="14.4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</row>
    <row r="51" spans="1:14" ht="14.4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</row>
    <row r="52" spans="1:14" ht="14.4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1:14" ht="14.4">
      <c r="A53" s="50" t="s">
        <v>883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1:14" ht="19.2" customHeight="1">
      <c r="A54" s="94" t="s">
        <v>710</v>
      </c>
      <c r="B54" s="94"/>
      <c r="C54" s="94" t="s">
        <v>884</v>
      </c>
      <c r="D54" s="94"/>
      <c r="E54" s="94" t="s">
        <v>885</v>
      </c>
      <c r="F54" s="94"/>
      <c r="G54" s="94" t="s">
        <v>826</v>
      </c>
      <c r="H54" s="94"/>
      <c r="I54" s="94" t="s">
        <v>886</v>
      </c>
      <c r="J54" s="94"/>
      <c r="K54" s="94" t="s">
        <v>887</v>
      </c>
      <c r="L54" s="94"/>
      <c r="M54" s="94"/>
      <c r="N54" s="94"/>
    </row>
    <row r="55" spans="1:14" ht="19.2" customHeight="1">
      <c r="A55" s="44" t="s">
        <v>888</v>
      </c>
      <c r="B55" s="44"/>
      <c r="C55" s="98">
        <f>'Flip Analysis'!C22</f>
        <v>60</v>
      </c>
      <c r="D55" s="98"/>
      <c r="E55" s="98">
        <f>'Flip Analysis'!C23</f>
        <v>72</v>
      </c>
      <c r="F55" s="98"/>
      <c r="G55" s="98">
        <f>'Flip Analysis'!C24</f>
        <v>12</v>
      </c>
      <c r="H55" s="96"/>
      <c r="I55" s="47" t="s">
        <v>889</v>
      </c>
      <c r="J55" s="47"/>
      <c r="K55" s="47" t="s">
        <v>890</v>
      </c>
      <c r="L55" s="47"/>
      <c r="M55" s="47"/>
      <c r="N55" s="47"/>
    </row>
    <row r="56" spans="1:14" ht="19.2" customHeight="1">
      <c r="A56" s="44" t="s">
        <v>875</v>
      </c>
      <c r="B56" s="44"/>
      <c r="C56" s="95">
        <f>'Flip Analysis'!C6</f>
        <v>96690</v>
      </c>
      <c r="D56" s="95"/>
      <c r="E56" s="95">
        <f>'Flip Analysis'!C31</f>
        <v>99800</v>
      </c>
      <c r="F56" s="95"/>
      <c r="G56" s="95">
        <f>'Flip Analysis'!C34</f>
        <v>3110</v>
      </c>
      <c r="H56" s="96"/>
      <c r="I56" s="47" t="s">
        <v>889</v>
      </c>
      <c r="J56" s="47"/>
      <c r="K56" s="47" t="s">
        <v>891</v>
      </c>
      <c r="L56" s="47"/>
      <c r="M56" s="47"/>
      <c r="N56" s="47"/>
    </row>
    <row r="57" spans="1:14" ht="19.2" customHeight="1">
      <c r="A57" s="44" t="s">
        <v>892</v>
      </c>
      <c r="B57" s="44"/>
      <c r="C57" s="95">
        <f>'Flip Analysis'!C5</f>
        <v>285000</v>
      </c>
      <c r="D57" s="95"/>
      <c r="E57" s="95">
        <f>'Flip Analysis'!C32</f>
        <v>292000</v>
      </c>
      <c r="F57" s="95"/>
      <c r="G57" s="95">
        <f>'Flip Analysis'!C33</f>
        <v>7000</v>
      </c>
      <c r="H57" s="96"/>
      <c r="I57" s="47" t="s">
        <v>893</v>
      </c>
      <c r="J57" s="47"/>
      <c r="K57" s="47" t="s">
        <v>894</v>
      </c>
      <c r="L57" s="47"/>
      <c r="M57" s="47"/>
      <c r="N57" s="47"/>
    </row>
    <row r="58" spans="1:14" ht="19.2" customHeight="1">
      <c r="A58" s="44" t="s">
        <v>895</v>
      </c>
      <c r="B58" s="44"/>
      <c r="C58" s="95">
        <f>'Flip Analysis'!C12</f>
        <v>38270</v>
      </c>
      <c r="D58" s="95"/>
      <c r="E58" s="95">
        <f>'Flip Analysis'!C39</f>
        <v>42951.511169513804</v>
      </c>
      <c r="F58" s="95"/>
      <c r="G58" s="95">
        <f>'Flip Analysis'!C39-'Flip Analysis'!C12</f>
        <v>4681.5111695138039</v>
      </c>
      <c r="H58" s="96"/>
      <c r="I58" s="47" t="s">
        <v>893</v>
      </c>
      <c r="J58" s="47"/>
      <c r="K58" s="47" t="s">
        <v>896</v>
      </c>
      <c r="L58" s="47"/>
      <c r="M58" s="47"/>
      <c r="N58" s="47"/>
    </row>
    <row r="59" spans="1:14" ht="19.2" customHeight="1">
      <c r="A59" s="44" t="s">
        <v>755</v>
      </c>
      <c r="B59" s="44"/>
      <c r="C59" s="96" t="s">
        <v>897</v>
      </c>
      <c r="D59" s="96"/>
      <c r="E59" s="97">
        <f>'Flip Analysis'!C40</f>
        <v>335.55868101182659</v>
      </c>
      <c r="F59" s="96"/>
      <c r="G59" s="96" t="s">
        <v>897</v>
      </c>
      <c r="H59" s="96"/>
      <c r="I59" s="47" t="s">
        <v>893</v>
      </c>
      <c r="J59" s="47"/>
      <c r="K59" s="47" t="s">
        <v>898</v>
      </c>
      <c r="L59" s="47"/>
      <c r="M59" s="47"/>
      <c r="N59" s="47"/>
    </row>
    <row r="60" spans="1:14" ht="19.2" customHeight="1">
      <c r="A60" s="44" t="s">
        <v>740</v>
      </c>
      <c r="B60" s="44"/>
      <c r="C60" s="95">
        <f>'Flip Analysis'!C28</f>
        <v>8790</v>
      </c>
      <c r="D60" s="95"/>
      <c r="E60" s="95">
        <f>'Flip Analysis'!C30</f>
        <v>0</v>
      </c>
      <c r="F60" s="95"/>
      <c r="G60" s="95">
        <f>'Flip Analysis'!C30-'Flip Analysis'!C28</f>
        <v>-8790</v>
      </c>
      <c r="H60" s="96"/>
      <c r="I60" s="47" t="s">
        <v>893</v>
      </c>
      <c r="J60" s="47"/>
      <c r="K60" s="47" t="s">
        <v>899</v>
      </c>
      <c r="L60" s="47"/>
      <c r="M60" s="47"/>
      <c r="N60" s="47"/>
    </row>
    <row r="61" spans="1:14" ht="19.2" customHeight="1">
      <c r="A61" s="44" t="s">
        <v>37</v>
      </c>
      <c r="B61" s="44"/>
      <c r="C61" s="95" t="s">
        <v>900</v>
      </c>
      <c r="D61" s="95"/>
      <c r="E61" s="95">
        <f>'Flip Analysis'!C17</f>
        <v>3205.8823529411748</v>
      </c>
      <c r="F61" s="95"/>
      <c r="G61" s="95">
        <f>'Flip Analysis'!C17</f>
        <v>3205.8823529411748</v>
      </c>
      <c r="H61" s="96"/>
      <c r="I61" s="47" t="s">
        <v>901</v>
      </c>
      <c r="J61" s="47"/>
      <c r="K61" s="47" t="s">
        <v>902</v>
      </c>
      <c r="L61" s="47"/>
      <c r="M61" s="47"/>
      <c r="N61" s="47"/>
    </row>
    <row r="62" spans="1:14" ht="14.4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</row>
    <row r="63" spans="1:14" ht="14.4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</row>
    <row r="64" spans="1:14">
      <c r="A64" s="43" t="s">
        <v>848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</row>
    <row r="66" spans="1:14" ht="14.4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1:14" ht="14.4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</row>
    <row r="68" spans="1:14" ht="14.4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</row>
    <row r="69" spans="1:14" ht="14.4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</row>
    <row r="70" spans="1:14" ht="14.4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</row>
  </sheetData>
  <mergeCells count="64">
    <mergeCell ref="A1:N2"/>
    <mergeCell ref="A3:N3"/>
    <mergeCell ref="A5:C8"/>
    <mergeCell ref="D5:F8"/>
    <mergeCell ref="G5:I8"/>
    <mergeCell ref="J5:N8"/>
    <mergeCell ref="A10:C13"/>
    <mergeCell ref="D10:F13"/>
    <mergeCell ref="G10:I13"/>
    <mergeCell ref="J10:N13"/>
    <mergeCell ref="A15:G15"/>
    <mergeCell ref="H15:N15"/>
    <mergeCell ref="A34:G34"/>
    <mergeCell ref="H34:N34"/>
    <mergeCell ref="A53:N53"/>
    <mergeCell ref="A54:B54"/>
    <mergeCell ref="C54:D54"/>
    <mergeCell ref="E54:F54"/>
    <mergeCell ref="G54:H54"/>
    <mergeCell ref="I54:J54"/>
    <mergeCell ref="K54:N54"/>
    <mergeCell ref="K55:N55"/>
    <mergeCell ref="A56:B56"/>
    <mergeCell ref="C56:D56"/>
    <mergeCell ref="E56:F56"/>
    <mergeCell ref="G56:H56"/>
    <mergeCell ref="I56:J56"/>
    <mergeCell ref="K56:N56"/>
    <mergeCell ref="A55:B55"/>
    <mergeCell ref="C55:D55"/>
    <mergeCell ref="E55:F55"/>
    <mergeCell ref="G55:H55"/>
    <mergeCell ref="I55:J55"/>
    <mergeCell ref="K57:N57"/>
    <mergeCell ref="A58:B58"/>
    <mergeCell ref="C58:D58"/>
    <mergeCell ref="E58:F58"/>
    <mergeCell ref="G58:H58"/>
    <mergeCell ref="I58:J58"/>
    <mergeCell ref="K58:N58"/>
    <mergeCell ref="A57:B57"/>
    <mergeCell ref="C57:D57"/>
    <mergeCell ref="E57:F57"/>
    <mergeCell ref="G57:H57"/>
    <mergeCell ref="I57:J57"/>
    <mergeCell ref="K59:N59"/>
    <mergeCell ref="A60:B60"/>
    <mergeCell ref="C60:D60"/>
    <mergeCell ref="E60:F60"/>
    <mergeCell ref="G60:H60"/>
    <mergeCell ref="I60:J60"/>
    <mergeCell ref="K60:N60"/>
    <mergeCell ref="A59:B59"/>
    <mergeCell ref="C59:D59"/>
    <mergeCell ref="E59:F59"/>
    <mergeCell ref="G59:H59"/>
    <mergeCell ref="I59:J59"/>
    <mergeCell ref="K61:N61"/>
    <mergeCell ref="A64:N65"/>
    <mergeCell ref="A61:B61"/>
    <mergeCell ref="C61:D61"/>
    <mergeCell ref="E61:F61"/>
    <mergeCell ref="G61:H61"/>
    <mergeCell ref="I61:J61"/>
  </mergeCells>
  <conditionalFormatting sqref="E61">
    <cfRule type="expression" dxfId="5" priority="7">
      <formula>E61&gt;=0</formula>
    </cfRule>
    <cfRule type="expression" dxfId="4" priority="8">
      <formula>E61&lt;0</formula>
    </cfRule>
  </conditionalFormatting>
  <conditionalFormatting sqref="G55:G56">
    <cfRule type="expression" dxfId="3" priority="1">
      <formula>G55&gt;0</formula>
    </cfRule>
    <cfRule type="expression" dxfId="2" priority="2">
      <formula>G55&lt;=0</formula>
    </cfRule>
  </conditionalFormatting>
  <conditionalFormatting sqref="G57:G58">
    <cfRule type="expression" dxfId="1" priority="5">
      <formula>G57&gt;=0</formula>
    </cfRule>
    <cfRule type="expression" dxfId="0" priority="6">
      <formula>G57&lt;0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Project Inputs</vt:lpstr>
      <vt:lpstr>Scope Builder</vt:lpstr>
      <vt:lpstr>Cost Library</vt:lpstr>
      <vt:lpstr>Bid Comparison</vt:lpstr>
      <vt:lpstr>Flip Analysis</vt:lpstr>
      <vt:lpstr>Sources &amp; Notes</vt:lpstr>
      <vt:lpstr>Lists</vt:lpstr>
      <vt:lpstr>Cost Dashboard</vt:lpstr>
      <vt:lpstr>Executive Overview</vt:lpstr>
      <vt:lpstr>Cost Analytics</vt:lpstr>
      <vt:lpstr>Project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Saleem Ramadan</cp:lastModifiedBy>
  <dcterms:modified xsi:type="dcterms:W3CDTF">2026-08-15T08:08:53Z</dcterms:modified>
</cp:coreProperties>
</file>